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ntribution\20260512_PICCOLO_Bob\2_data_prepare\"/>
    </mc:Choice>
  </mc:AlternateContent>
  <xr:revisionPtr revIDLastSave="0" documentId="13_ncr:1_{A6768FDA-7F6E-4224-B7E4-FEDCA3645F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FF" sheetId="1" r:id="rId1"/>
    <sheet name="HPLC" sheetId="2" r:id="rId2"/>
  </sheets>
  <externalReferences>
    <externalReference r:id="rId3"/>
  </externalReferences>
  <definedNames>
    <definedName name="_xlnm._FilterDatabase" localSheetId="1" hidden="1">HPLC!$A$1:$BD$110</definedName>
    <definedName name="_xlnm._FilterDatabase" localSheetId="0" hidden="1">SFF!$M$1:$M$134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1" l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</calcChain>
</file>

<file path=xl/sharedStrings.xml><?xml version="1.0" encoding="utf-8"?>
<sst xmlns="http://schemas.openxmlformats.org/spreadsheetml/2006/main" count="7074" uniqueCount="379">
  <si>
    <t>Year</t>
  </si>
  <si>
    <t>Month</t>
  </si>
  <si>
    <t>Day</t>
  </si>
  <si>
    <t>lat</t>
  </si>
  <si>
    <t>lon</t>
  </si>
  <si>
    <t>depth</t>
  </si>
  <si>
    <t>Station_Bethany</t>
  </si>
  <si>
    <t>Station_Xuerong</t>
  </si>
  <si>
    <t>Test 2</t>
  </si>
  <si>
    <t>Test2</t>
    <phoneticPr fontId="0" type="noConversion"/>
  </si>
  <si>
    <t>Test2</t>
  </si>
  <si>
    <t>Mooring 2</t>
  </si>
  <si>
    <t>Mooring1/Mooring1_part_2/Mooring1_part_3</t>
    <phoneticPr fontId="0" type="noConversion"/>
  </si>
  <si>
    <t>Mooring1/Mooring1_part_2/Mooring1_part_3</t>
  </si>
  <si>
    <t>Mooring 3</t>
  </si>
  <si>
    <t>Mooring1/Mooring1_part_5</t>
    <phoneticPr fontId="0" type="noConversion"/>
  </si>
  <si>
    <t>Nicholls 96</t>
  </si>
  <si>
    <t>N96</t>
  </si>
  <si>
    <t>Nicholls 104</t>
  </si>
  <si>
    <t>N104_second</t>
  </si>
  <si>
    <t>SS2</t>
  </si>
  <si>
    <t>SS4</t>
  </si>
  <si>
    <t>T1</t>
  </si>
  <si>
    <t>T2</t>
  </si>
  <si>
    <t>T2/T2_part_2</t>
    <phoneticPr fontId="0" type="noConversion"/>
  </si>
  <si>
    <t>T2/T2_part_2</t>
  </si>
  <si>
    <t>T3</t>
  </si>
  <si>
    <t>T4</t>
  </si>
  <si>
    <t>T4/T4_part_1</t>
    <phoneticPr fontId="0" type="noConversion"/>
  </si>
  <si>
    <t>T4/T4_part_1</t>
  </si>
  <si>
    <t>T5</t>
  </si>
  <si>
    <t>T5/T5_part_1</t>
    <phoneticPr fontId="0" type="noConversion"/>
  </si>
  <si>
    <t>T5/T5_part_1</t>
  </si>
  <si>
    <t>T6</t>
  </si>
  <si>
    <t>T6/T6_part_2</t>
    <phoneticPr fontId="0" type="noConversion"/>
  </si>
  <si>
    <t>T6/T6_part_2</t>
  </si>
  <si>
    <t>T7</t>
  </si>
  <si>
    <t>T8</t>
  </si>
  <si>
    <t>T8/T8_part_2</t>
    <phoneticPr fontId="0" type="noConversion"/>
  </si>
  <si>
    <t>T8/T8_part_2</t>
  </si>
  <si>
    <t>Mooring</t>
  </si>
  <si>
    <t>Mooring2/Mooring2_part_1</t>
    <phoneticPr fontId="0" type="noConversion"/>
  </si>
  <si>
    <t>Mooring2/Mooring2_part_1</t>
  </si>
  <si>
    <t>Ice Station</t>
  </si>
  <si>
    <t>IceStation1/IceStation1_part_2</t>
    <phoneticPr fontId="0" type="noConversion"/>
  </si>
  <si>
    <t>IceStation1/IceStation1_part_2</t>
  </si>
  <si>
    <t>Supersite</t>
  </si>
  <si>
    <t>Supersite/Supersite_part_1</t>
    <phoneticPr fontId="0" type="noConversion"/>
  </si>
  <si>
    <t>Supersite/Supersite_part_1</t>
  </si>
  <si>
    <t>total_chla_sff</t>
  </si>
  <si>
    <t>micro_chla_sff</t>
  </si>
  <si>
    <t>nano_chla_sff</t>
  </si>
  <si>
    <t>pico_chla_sff</t>
  </si>
  <si>
    <t>Station</t>
  </si>
  <si>
    <t>Date</t>
  </si>
  <si>
    <t>Time</t>
  </si>
  <si>
    <t xml:space="preserve">Latitude </t>
  </si>
  <si>
    <t xml:space="preserve">Longitude </t>
  </si>
  <si>
    <t>Sample</t>
  </si>
  <si>
    <t>Depth</t>
  </si>
  <si>
    <t>Volume Filtered</t>
  </si>
  <si>
    <t>Size-fraction</t>
  </si>
  <si>
    <t>Fucoxanthin</t>
  </si>
  <si>
    <t>Peridinin</t>
  </si>
  <si>
    <t>19-hex-fucoxanthin</t>
  </si>
  <si>
    <t>19-but-fucoxanthin</t>
  </si>
  <si>
    <t>Alloxanthin</t>
  </si>
  <si>
    <t>Chlorophyll b</t>
  </si>
  <si>
    <t>Zeaxanthin</t>
  </si>
  <si>
    <t>Chlorophyllide a</t>
  </si>
  <si>
    <t>MV chlorophyll a</t>
  </si>
  <si>
    <t>DPw_uitz2006</t>
  </si>
  <si>
    <t>micro_frac_uitz2006</t>
  </si>
  <si>
    <t>nano_frac_uitz2006</t>
  </si>
  <si>
    <t>pico_frac_uitz2006</t>
  </si>
  <si>
    <t>micro_chla_uitz2006</t>
  </si>
  <si>
    <t>nano_chla_uitz2006</t>
  </si>
  <si>
    <t>pico_chla_uitz2006</t>
  </si>
  <si>
    <t>DPw_chase2020</t>
  </si>
  <si>
    <t>pico_frac_chase2020</t>
  </si>
  <si>
    <t>nano_frac_chase2020</t>
  </si>
  <si>
    <t>micro_frac_chase2020</t>
  </si>
  <si>
    <t>pico_chla_chase2020</t>
  </si>
  <si>
    <t>nano_chla_chase2020</t>
  </si>
  <si>
    <t>micro_chla_chase2020</t>
  </si>
  <si>
    <t>DPw_sun2023</t>
  </si>
  <si>
    <t>Fuco_nano_sun2023</t>
  </si>
  <si>
    <t>pico_frac_sun2023</t>
  </si>
  <si>
    <t>nano_frac_sun2023</t>
  </si>
  <si>
    <t>micro_frac_sun2023</t>
  </si>
  <si>
    <t>pico_chla_sun2023</t>
  </si>
  <si>
    <t>nano_chla_sun2023</t>
  </si>
  <si>
    <t>micro_chla_sun2023</t>
  </si>
  <si>
    <t>DPw_sun2025_SO</t>
  </si>
  <si>
    <t>Fuco_nano_sun2025_SO</t>
  </si>
  <si>
    <t>pico_frac_sun2025_SO</t>
  </si>
  <si>
    <t>nano_frac_sun2025_SO</t>
  </si>
  <si>
    <t>micro_frac_sun2025_SO</t>
  </si>
  <si>
    <t>pico_chla_sun2025_SO</t>
  </si>
  <si>
    <t>nano_chla_sun2025_SO</t>
  </si>
  <si>
    <t>micro_chla_sun2025_SO</t>
  </si>
  <si>
    <t>08:21:00</t>
  </si>
  <si>
    <t>ST096-CTD029-B20</t>
  </si>
  <si>
    <t>NA</t>
  </si>
  <si>
    <t>07:28:00</t>
  </si>
  <si>
    <t>CTD049-016 SS2</t>
  </si>
  <si>
    <t>CTD049-017+019 SS2</t>
  </si>
  <si>
    <t>07:26:00</t>
  </si>
  <si>
    <t>CTD055-021 SS4</t>
  </si>
  <si>
    <t>10:14:00</t>
  </si>
  <si>
    <t>UW026 2024.2.08</t>
  </si>
  <si>
    <t>Total</t>
  </si>
  <si>
    <t>10:36:00</t>
  </si>
  <si>
    <t>CTD077-018 T2</t>
  </si>
  <si>
    <t>CTD077-023 T2</t>
  </si>
  <si>
    <t>09:45:00</t>
  </si>
  <si>
    <t>T3-CTD082-B20</t>
  </si>
  <si>
    <t>T3-CTD082-B22</t>
  </si>
  <si>
    <t>11:33:00</t>
  </si>
  <si>
    <t>T4-CTD088-B18</t>
  </si>
  <si>
    <t>T4-CTD088-B22</t>
  </si>
  <si>
    <t>10:34:00</t>
  </si>
  <si>
    <t>CTD094-018</t>
  </si>
  <si>
    <t>CTD094-022</t>
  </si>
  <si>
    <t>09:52:00</t>
  </si>
  <si>
    <t>CTD102-018 T6</t>
  </si>
  <si>
    <t>CTD102-021 T6</t>
  </si>
  <si>
    <t>12:50:00</t>
  </si>
  <si>
    <t>CTD111-023</t>
  </si>
  <si>
    <t>Mooring2</t>
  </si>
  <si>
    <t>07:24:00</t>
  </si>
  <si>
    <t>UW048 2024.2.16</t>
  </si>
  <si>
    <t>IceStation1</t>
  </si>
  <si>
    <t>08:48:00</t>
  </si>
  <si>
    <t>UW054 2024.2.19</t>
  </si>
  <si>
    <t>17:59:00</t>
  </si>
  <si>
    <t>CTD134-B4 60M</t>
  </si>
  <si>
    <t>CTD134-B16 2.2M</t>
  </si>
  <si>
    <t>NaN</t>
  </si>
  <si>
    <t>MBR</t>
  </si>
  <si>
    <t>Chla_OReilly_2019</t>
  </si>
  <si>
    <t>Chla_Johnson_2013</t>
  </si>
  <si>
    <t>Chla_Ferreira_2022</t>
  </si>
  <si>
    <t>10:11:00</t>
  </si>
  <si>
    <t>CTD020-013 N104</t>
  </si>
  <si>
    <t>CTD020-017 N104</t>
  </si>
  <si>
    <t>CTD020-020 N104</t>
  </si>
  <si>
    <t>08:46:00</t>
  </si>
  <si>
    <t>CTD040-019 N96_5</t>
  </si>
  <si>
    <t>CTD040-016 N96_5</t>
  </si>
  <si>
    <t>17:07:00</t>
  </si>
  <si>
    <t>CTD045-021 N101</t>
  </si>
  <si>
    <t>22:35:00</t>
  </si>
  <si>
    <t>CTD129-B18 20M</t>
  </si>
  <si>
    <t>CTD129-B13 70M</t>
  </si>
  <si>
    <t>10:57:00</t>
  </si>
  <si>
    <t>CTD132-B21 20M</t>
  </si>
  <si>
    <t>CTD132-B18 50M</t>
  </si>
  <si>
    <t>CTD132-B16 80M</t>
  </si>
  <si>
    <t>10:24:00</t>
  </si>
  <si>
    <t>UW027 2024.2.08</t>
  </si>
  <si>
    <t>25um</t>
  </si>
  <si>
    <t>10:47:00</t>
  </si>
  <si>
    <t>UW028 2024.2.08</t>
  </si>
  <si>
    <t>3um</t>
  </si>
  <si>
    <t>07:35:00</t>
  </si>
  <si>
    <t>UW049 2024.2.16</t>
  </si>
  <si>
    <t>07:50:00</t>
  </si>
  <si>
    <t>UW050 2024.2.16</t>
  </si>
  <si>
    <t>22:48:00</t>
  </si>
  <si>
    <t>UW051 2024.2.17</t>
  </si>
  <si>
    <t>08:20:00</t>
  </si>
  <si>
    <t>UW052 2024.2.19</t>
  </si>
  <si>
    <t>08:38:00</t>
  </si>
  <si>
    <t>UW053 2024.2.19</t>
  </si>
  <si>
    <t>07:14:00</t>
  </si>
  <si>
    <t>UW056 2024.2.24</t>
  </si>
  <si>
    <t>07:19:00</t>
  </si>
  <si>
    <t>UW057 2024.2.24</t>
  </si>
  <si>
    <t>07:34:00</t>
  </si>
  <si>
    <t>UW058 2024.2.24</t>
  </si>
  <si>
    <t>11:26:00</t>
  </si>
  <si>
    <t>UW073 2024.2.27</t>
  </si>
  <si>
    <t>11:35:00</t>
  </si>
  <si>
    <t>UW074 2024.2.27</t>
  </si>
  <si>
    <t>11:51:00</t>
  </si>
  <si>
    <t>UW075 2024.2.27</t>
  </si>
  <si>
    <t>18:26:00</t>
  </si>
  <si>
    <t>ICE HPLC 01 2024.2.25</t>
  </si>
  <si>
    <t>ICE FLOE8 HPLC 2024.2.26</t>
  </si>
  <si>
    <t>ICE FLOE8 CORE HPLC 2024.2.27</t>
  </si>
  <si>
    <t>ICE FLOE9 HPLC 2024.2.27</t>
  </si>
  <si>
    <t>ICE FLOE9 CORE HPLC 2024.2.28</t>
  </si>
  <si>
    <t>ICE SPARE 01 2024.2.25</t>
  </si>
  <si>
    <t>hplc_source</t>
    <phoneticPr fontId="1" type="noConversion"/>
  </si>
  <si>
    <t>CTD</t>
    <phoneticPr fontId="1" type="noConversion"/>
  </si>
  <si>
    <t>UW</t>
    <phoneticPr fontId="1" type="noConversion"/>
  </si>
  <si>
    <t>UW</t>
  </si>
  <si>
    <t>station</t>
  </si>
  <si>
    <t>bottle</t>
  </si>
  <si>
    <t>year</t>
  </si>
  <si>
    <t>month</t>
  </si>
  <si>
    <t>day</t>
  </si>
  <si>
    <t>sdy</t>
  </si>
  <si>
    <t>time</t>
  </si>
  <si>
    <t>Station_ID</t>
  </si>
  <si>
    <t>Station_T1</t>
  </si>
  <si>
    <t>Station_Mooring</t>
  </si>
  <si>
    <t>Mooring2_part_1</t>
  </si>
  <si>
    <t>Station_Floe3</t>
  </si>
  <si>
    <t>Floe3</t>
  </si>
  <si>
    <t>Station_IceStation1</t>
  </si>
  <si>
    <t>IceStation1_part_2</t>
  </si>
  <si>
    <t>Station_BiopoleGlider</t>
  </si>
  <si>
    <t>BiopoleGlider</t>
  </si>
  <si>
    <t>Station_Floe9</t>
  </si>
  <si>
    <t>Floe9</t>
  </si>
  <si>
    <t>N104</t>
  </si>
  <si>
    <t>N104_first</t>
  </si>
  <si>
    <t>N96_5</t>
  </si>
  <si>
    <t>N101</t>
  </si>
  <si>
    <t>T2_part_3</t>
  </si>
  <si>
    <t>T4_part_2</t>
  </si>
  <si>
    <t>T5_part_2</t>
  </si>
  <si>
    <t>T6_part_3</t>
  </si>
  <si>
    <t>Calibration3</t>
  </si>
  <si>
    <t>Float1</t>
  </si>
  <si>
    <t>Supersite_part_1</t>
  </si>
  <si>
    <t>Floe5</t>
  </si>
  <si>
    <t>ice cage</t>
  </si>
  <si>
    <t>ice cage, spare one</t>
  </si>
  <si>
    <t>Floe8</t>
  </si>
  <si>
    <t>on ice work day1, interface</t>
  </si>
  <si>
    <t>on ice work day1, core</t>
  </si>
  <si>
    <t>on ice work day2, interface</t>
  </si>
  <si>
    <t>on ice work day2, core</t>
  </si>
  <si>
    <t>UW021 2024.2.05</t>
  </si>
  <si>
    <t>Transit</t>
  </si>
  <si>
    <t>16:57:00</t>
  </si>
  <si>
    <t>UW022 2024.2.06</t>
  </si>
  <si>
    <t>00:55:00</t>
  </si>
  <si>
    <t>UW023 2024.2.07</t>
  </si>
  <si>
    <t>Station_Geotraces</t>
  </si>
  <si>
    <t>09:28:00</t>
  </si>
  <si>
    <t>Geotraces</t>
  </si>
  <si>
    <t>UW024 2024.2.07</t>
  </si>
  <si>
    <t>09:43:00</t>
  </si>
  <si>
    <t>UW025 2024.2.07</t>
  </si>
  <si>
    <t>09:54:00</t>
  </si>
  <si>
    <t>UW029 2024.2.08</t>
  </si>
  <si>
    <t>Station_T1_1</t>
  </si>
  <si>
    <t>19:55:00</t>
  </si>
  <si>
    <t>T1_1</t>
  </si>
  <si>
    <t>UW030 2024.2.09</t>
  </si>
  <si>
    <t>Station_T2</t>
  </si>
  <si>
    <t>12:20:00</t>
  </si>
  <si>
    <t>UW031 2024.2.09</t>
  </si>
  <si>
    <t>12:38:00</t>
  </si>
  <si>
    <t>UW032 2024.2.09</t>
  </si>
  <si>
    <t>12:48:00</t>
  </si>
  <si>
    <t>UW033 2024.2.10</t>
  </si>
  <si>
    <t>Station_T3</t>
  </si>
  <si>
    <t>UW034 2024.2.10</t>
  </si>
  <si>
    <t>10:23:00</t>
  </si>
  <si>
    <t>UW035 2024.2.10</t>
  </si>
  <si>
    <t>10:42:00</t>
  </si>
  <si>
    <t>UW036 2024.2.11</t>
  </si>
  <si>
    <t>Station_T4</t>
  </si>
  <si>
    <t>09:15:00</t>
  </si>
  <si>
    <t>T4_part_1</t>
  </si>
  <si>
    <t>UW037 2024.2.11</t>
  </si>
  <si>
    <t>09:36:00</t>
  </si>
  <si>
    <t>UW038 2024.2.11</t>
  </si>
  <si>
    <t>09:51:00</t>
  </si>
  <si>
    <t>UW039 2024.2.12</t>
  </si>
  <si>
    <t>Station_T5</t>
  </si>
  <si>
    <t>08:22:00</t>
  </si>
  <si>
    <t>T5_part_1</t>
  </si>
  <si>
    <t>UW040 2024.2.12</t>
  </si>
  <si>
    <t>08:34:00</t>
  </si>
  <si>
    <t>UW041 2024.2.12</t>
  </si>
  <si>
    <t>08:52:00</t>
  </si>
  <si>
    <t>UW042 2024.2.13</t>
  </si>
  <si>
    <t>Station_T6</t>
  </si>
  <si>
    <t>11:12:00</t>
  </si>
  <si>
    <t>UW043 2024.2.13</t>
  </si>
  <si>
    <t>11:22:00</t>
  </si>
  <si>
    <t>UW044 2024.2.13</t>
  </si>
  <si>
    <t>11:37:00</t>
  </si>
  <si>
    <t>UW045 2024.2.14</t>
  </si>
  <si>
    <t>Station_T7</t>
  </si>
  <si>
    <t>13:15:00</t>
  </si>
  <si>
    <t>UW046 2024.2.14</t>
  </si>
  <si>
    <t>13:30:00</t>
  </si>
  <si>
    <t>UW047 2024.2.14</t>
  </si>
  <si>
    <t>13:45:00</t>
  </si>
  <si>
    <t>UW055 2024.2.23</t>
  </si>
  <si>
    <t>18:40:00</t>
  </si>
  <si>
    <t>UW059-T5 2024.2.24</t>
  </si>
  <si>
    <t>17:30:00</t>
  </si>
  <si>
    <t>UW060 2024.2.24</t>
  </si>
  <si>
    <t>17:54:00</t>
  </si>
  <si>
    <t>UW061-T7 2024.2.24</t>
  </si>
  <si>
    <t>18:29:00</t>
  </si>
  <si>
    <t>UW062-T8 2024.2.24</t>
  </si>
  <si>
    <t>18:58:00</t>
  </si>
  <si>
    <t>UW063-T9 2024.2.24</t>
  </si>
  <si>
    <t>19:29:00</t>
  </si>
  <si>
    <t>UW064-T10 2024.2.24</t>
  </si>
  <si>
    <t>19:57:00</t>
  </si>
  <si>
    <t>UW065-T11 2024.2.24</t>
  </si>
  <si>
    <t>20:28:00</t>
  </si>
  <si>
    <t>UW066-T12 2024.2.24</t>
  </si>
  <si>
    <t>20:57:00</t>
  </si>
  <si>
    <t>UW067-T13 2024.2.24</t>
  </si>
  <si>
    <t>21:28:00</t>
  </si>
  <si>
    <t>UW068-T14 2024.2.24</t>
  </si>
  <si>
    <t>21:58:00</t>
  </si>
  <si>
    <t>UW069-T15 2024.2.24</t>
  </si>
  <si>
    <t>22:29:00</t>
  </si>
  <si>
    <t>UW070-T16 2024.2.24</t>
  </si>
  <si>
    <t>22:58:00</t>
  </si>
  <si>
    <t>UW071-T17 2024.2.24</t>
  </si>
  <si>
    <t>23:28:00</t>
  </si>
  <si>
    <t>UW072-T18 2024.2.24</t>
  </si>
  <si>
    <t>23:59:00</t>
  </si>
  <si>
    <t>UW076 2024.2.29</t>
  </si>
  <si>
    <t>Station_Supersite</t>
  </si>
  <si>
    <t>13:13:00</t>
  </si>
  <si>
    <t>total_chla_hplc</t>
  </si>
  <si>
    <t>Mooring1_part_4</t>
  </si>
  <si>
    <t>UW001 2024.1.28</t>
  </si>
  <si>
    <t>22:34:00</t>
  </si>
  <si>
    <t>UW002 2024.1.29</t>
  </si>
  <si>
    <t>02:17:00</t>
  </si>
  <si>
    <t>UW003 2024.1.29</t>
  </si>
  <si>
    <t>17:55:00</t>
  </si>
  <si>
    <t>Mooring1_part_5</t>
  </si>
  <si>
    <t>UW005 2024.1.29</t>
  </si>
  <si>
    <t>19:45:00</t>
  </si>
  <si>
    <t>UW006 2024.1.29</t>
  </si>
  <si>
    <t>20:37:00</t>
  </si>
  <si>
    <t>UW007 2024.1.31</t>
  </si>
  <si>
    <t>12:59:00</t>
  </si>
  <si>
    <t>UW008 2024.1.31</t>
  </si>
  <si>
    <t>19:17:00</t>
  </si>
  <si>
    <t>UW009 2024.2.02</t>
  </si>
  <si>
    <t>Station_N96_5</t>
  </si>
  <si>
    <t>10:54:00</t>
  </si>
  <si>
    <t>UW010 2024.2.02</t>
  </si>
  <si>
    <t>12:25:00</t>
  </si>
  <si>
    <t>UW011 2024.2.02</t>
  </si>
  <si>
    <t>12:42:00</t>
  </si>
  <si>
    <t>UW012 2024.2.03</t>
  </si>
  <si>
    <t>Station_SS2</t>
  </si>
  <si>
    <t>11:43:00</t>
  </si>
  <si>
    <t>UW013 2024.2.03</t>
  </si>
  <si>
    <t>11:15:00</t>
  </si>
  <si>
    <t>UW014 2024.2.03</t>
  </si>
  <si>
    <t>11:31:00</t>
  </si>
  <si>
    <t>UW015 2024.2.03</t>
  </si>
  <si>
    <t>23:43:00</t>
  </si>
  <si>
    <t>UW016 2024.2.04</t>
  </si>
  <si>
    <t>Station_SS4</t>
  </si>
  <si>
    <t>10:18:00</t>
  </si>
  <si>
    <t>UW017 2024.2.04</t>
  </si>
  <si>
    <t>10:33:00</t>
  </si>
  <si>
    <t>UW018 2024.2.04</t>
  </si>
  <si>
    <t>10:45:00</t>
  </si>
  <si>
    <t>UW019 2024.2.05</t>
  </si>
  <si>
    <t>10:58:00</t>
  </si>
  <si>
    <t>UW020 2024.2.05</t>
  </si>
  <si>
    <t>12:55:00</t>
  </si>
  <si>
    <t>UW079 2024.3.1</t>
  </si>
  <si>
    <t>09:13:00</t>
  </si>
  <si>
    <t>UW080 2024.3.1</t>
  </si>
  <si>
    <t>09:26:00</t>
  </si>
  <si>
    <t>UW081 2024.3.1</t>
  </si>
  <si>
    <t>09:40:00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</si>
</sst>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ntribution\20260512_PICCOLO_Bob\2_data_prepare\2_sff_hplc.xlsx" TargetMode="External"/><Relationship Id="rId1" Type="http://schemas.openxmlformats.org/officeDocument/2006/relationships/externalLinkPath" Target="2_sff_hp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la"/>
      <sheetName val="chla_hplc_dpa"/>
    </sheetNames>
    <sheetDataSet>
      <sheetData sheetId="0">
        <row r="2">
          <cell r="A2">
            <v>45317</v>
          </cell>
        </row>
        <row r="3">
          <cell r="A3">
            <v>45317</v>
          </cell>
        </row>
        <row r="4">
          <cell r="A4">
            <v>45317</v>
          </cell>
        </row>
        <row r="5">
          <cell r="A5">
            <v>45317</v>
          </cell>
        </row>
        <row r="6">
          <cell r="A6">
            <v>45317</v>
          </cell>
        </row>
        <row r="7">
          <cell r="A7">
            <v>45317</v>
          </cell>
        </row>
        <row r="8">
          <cell r="A8">
            <v>45319</v>
          </cell>
        </row>
        <row r="9">
          <cell r="A9">
            <v>45319</v>
          </cell>
        </row>
        <row r="10">
          <cell r="A10">
            <v>45319</v>
          </cell>
        </row>
        <row r="11">
          <cell r="A11">
            <v>45319</v>
          </cell>
        </row>
        <row r="12">
          <cell r="A12">
            <v>45319</v>
          </cell>
        </row>
        <row r="13">
          <cell r="A13">
            <v>45319</v>
          </cell>
        </row>
        <row r="14">
          <cell r="A14">
            <v>45321</v>
          </cell>
        </row>
        <row r="15">
          <cell r="A15">
            <v>45321</v>
          </cell>
        </row>
        <row r="16">
          <cell r="A16">
            <v>45321</v>
          </cell>
        </row>
        <row r="17">
          <cell r="A17">
            <v>45321</v>
          </cell>
        </row>
        <row r="18">
          <cell r="A18">
            <v>45321</v>
          </cell>
        </row>
        <row r="19">
          <cell r="A19">
            <v>45321</v>
          </cell>
        </row>
        <row r="20">
          <cell r="A20">
            <v>45323</v>
          </cell>
        </row>
        <row r="21">
          <cell r="A21">
            <v>45323</v>
          </cell>
        </row>
        <row r="22">
          <cell r="A22">
            <v>45323</v>
          </cell>
        </row>
        <row r="23">
          <cell r="A23">
            <v>45323</v>
          </cell>
        </row>
        <row r="24">
          <cell r="A24">
            <v>45323</v>
          </cell>
        </row>
        <row r="25">
          <cell r="A25">
            <v>45323</v>
          </cell>
        </row>
        <row r="26">
          <cell r="A26">
            <v>45324</v>
          </cell>
        </row>
        <row r="27">
          <cell r="A27">
            <v>45324</v>
          </cell>
        </row>
        <row r="28">
          <cell r="A28">
            <v>45324</v>
          </cell>
        </row>
        <row r="29">
          <cell r="A29">
            <v>45324</v>
          </cell>
        </row>
        <row r="30">
          <cell r="A30">
            <v>45324</v>
          </cell>
        </row>
        <row r="31">
          <cell r="A31">
            <v>45324</v>
          </cell>
        </row>
        <row r="32">
          <cell r="A32">
            <v>45325</v>
          </cell>
        </row>
        <row r="33">
          <cell r="A33">
            <v>45325</v>
          </cell>
        </row>
        <row r="34">
          <cell r="A34">
            <v>45325</v>
          </cell>
        </row>
        <row r="35">
          <cell r="A35">
            <v>45325</v>
          </cell>
        </row>
        <row r="36">
          <cell r="A36">
            <v>45325</v>
          </cell>
        </row>
        <row r="37">
          <cell r="A37">
            <v>45325</v>
          </cell>
        </row>
        <row r="38">
          <cell r="A38">
            <v>45326</v>
          </cell>
        </row>
        <row r="39">
          <cell r="A39">
            <v>45326</v>
          </cell>
        </row>
        <row r="40">
          <cell r="A40">
            <v>45326</v>
          </cell>
        </row>
        <row r="41">
          <cell r="A41">
            <v>45326</v>
          </cell>
        </row>
        <row r="42">
          <cell r="A42">
            <v>45326</v>
          </cell>
        </row>
        <row r="43">
          <cell r="A43">
            <v>45326</v>
          </cell>
        </row>
        <row r="44">
          <cell r="A44">
            <v>45330</v>
          </cell>
        </row>
        <row r="45">
          <cell r="A45">
            <v>45330</v>
          </cell>
        </row>
        <row r="46">
          <cell r="A46">
            <v>45330</v>
          </cell>
        </row>
        <row r="47">
          <cell r="A47">
            <v>45330</v>
          </cell>
        </row>
        <row r="48">
          <cell r="A48">
            <v>45330</v>
          </cell>
        </row>
        <row r="49">
          <cell r="A49">
            <v>45330</v>
          </cell>
        </row>
        <row r="50">
          <cell r="A50">
            <v>45331</v>
          </cell>
        </row>
        <row r="51">
          <cell r="A51">
            <v>45331</v>
          </cell>
        </row>
        <row r="52">
          <cell r="A52">
            <v>45331</v>
          </cell>
        </row>
        <row r="53">
          <cell r="A53">
            <v>45331</v>
          </cell>
        </row>
        <row r="54">
          <cell r="A54">
            <v>45331</v>
          </cell>
        </row>
        <row r="55">
          <cell r="A55">
            <v>45331</v>
          </cell>
        </row>
        <row r="56">
          <cell r="A56">
            <v>45332</v>
          </cell>
        </row>
        <row r="57">
          <cell r="A57">
            <v>45332</v>
          </cell>
        </row>
        <row r="58">
          <cell r="A58">
            <v>45332</v>
          </cell>
        </row>
        <row r="59">
          <cell r="A59">
            <v>45332</v>
          </cell>
        </row>
        <row r="60">
          <cell r="A60">
            <v>45332</v>
          </cell>
        </row>
        <row r="61">
          <cell r="A61">
            <v>45332</v>
          </cell>
        </row>
        <row r="62">
          <cell r="A62">
            <v>45332</v>
          </cell>
        </row>
        <row r="63">
          <cell r="A63">
            <v>45332</v>
          </cell>
        </row>
        <row r="64">
          <cell r="A64">
            <v>45332</v>
          </cell>
        </row>
        <row r="65">
          <cell r="A65">
            <v>45333</v>
          </cell>
        </row>
        <row r="66">
          <cell r="A66">
            <v>45333</v>
          </cell>
        </row>
        <row r="67">
          <cell r="A67">
            <v>45333</v>
          </cell>
        </row>
        <row r="68">
          <cell r="A68">
            <v>45333</v>
          </cell>
        </row>
        <row r="69">
          <cell r="A69">
            <v>45333</v>
          </cell>
        </row>
        <row r="70">
          <cell r="A70">
            <v>45333</v>
          </cell>
        </row>
        <row r="71">
          <cell r="A71">
            <v>45333</v>
          </cell>
        </row>
        <row r="72">
          <cell r="A72">
            <v>45333</v>
          </cell>
        </row>
        <row r="73">
          <cell r="A73">
            <v>45333</v>
          </cell>
        </row>
        <row r="74">
          <cell r="A74">
            <v>45334</v>
          </cell>
        </row>
        <row r="75">
          <cell r="A75">
            <v>45334</v>
          </cell>
        </row>
        <row r="76">
          <cell r="A76">
            <v>45334</v>
          </cell>
        </row>
        <row r="77">
          <cell r="A77">
            <v>45334</v>
          </cell>
        </row>
        <row r="78">
          <cell r="A78">
            <v>45334</v>
          </cell>
        </row>
        <row r="79">
          <cell r="A79">
            <v>45334</v>
          </cell>
        </row>
        <row r="80">
          <cell r="A80">
            <v>45334</v>
          </cell>
        </row>
        <row r="81">
          <cell r="A81">
            <v>45334</v>
          </cell>
        </row>
        <row r="82">
          <cell r="A82">
            <v>45334</v>
          </cell>
        </row>
        <row r="83">
          <cell r="A83">
            <v>45335</v>
          </cell>
        </row>
        <row r="84">
          <cell r="A84">
            <v>45335</v>
          </cell>
        </row>
        <row r="85">
          <cell r="A85">
            <v>45335</v>
          </cell>
        </row>
        <row r="86">
          <cell r="A86">
            <v>45335</v>
          </cell>
        </row>
        <row r="87">
          <cell r="A87">
            <v>45335</v>
          </cell>
        </row>
        <row r="88">
          <cell r="A88">
            <v>45335</v>
          </cell>
        </row>
        <row r="89">
          <cell r="A89">
            <v>45335</v>
          </cell>
        </row>
        <row r="90">
          <cell r="A90">
            <v>45335</v>
          </cell>
        </row>
        <row r="91">
          <cell r="A91">
            <v>45335</v>
          </cell>
        </row>
        <row r="92">
          <cell r="A92">
            <v>45336</v>
          </cell>
        </row>
        <row r="93">
          <cell r="A93">
            <v>45336</v>
          </cell>
        </row>
        <row r="94">
          <cell r="A94">
            <v>45336</v>
          </cell>
        </row>
        <row r="95">
          <cell r="A95">
            <v>45336</v>
          </cell>
        </row>
        <row r="96">
          <cell r="A96">
            <v>45336</v>
          </cell>
        </row>
        <row r="97">
          <cell r="A97">
            <v>45336</v>
          </cell>
        </row>
        <row r="98">
          <cell r="A98">
            <v>45336</v>
          </cell>
        </row>
        <row r="99">
          <cell r="A99">
            <v>45336</v>
          </cell>
        </row>
        <row r="100">
          <cell r="A100">
            <v>45336</v>
          </cell>
        </row>
        <row r="101">
          <cell r="A101">
            <v>45337</v>
          </cell>
        </row>
        <row r="102">
          <cell r="A102">
            <v>45337</v>
          </cell>
        </row>
        <row r="103">
          <cell r="A103">
            <v>45337</v>
          </cell>
        </row>
        <row r="104">
          <cell r="A104">
            <v>45337</v>
          </cell>
        </row>
        <row r="105">
          <cell r="A105">
            <v>45337</v>
          </cell>
        </row>
        <row r="106">
          <cell r="A106">
            <v>45337</v>
          </cell>
        </row>
        <row r="107">
          <cell r="A107">
            <v>45337</v>
          </cell>
        </row>
        <row r="108">
          <cell r="A108">
            <v>45337</v>
          </cell>
        </row>
        <row r="109">
          <cell r="A109">
            <v>45337</v>
          </cell>
        </row>
        <row r="110">
          <cell r="A110">
            <v>45338</v>
          </cell>
        </row>
        <row r="111">
          <cell r="A111">
            <v>45338</v>
          </cell>
        </row>
        <row r="112">
          <cell r="A112">
            <v>45338</v>
          </cell>
        </row>
        <row r="113">
          <cell r="A113">
            <v>45338</v>
          </cell>
        </row>
        <row r="114">
          <cell r="A114">
            <v>45338</v>
          </cell>
        </row>
        <row r="115">
          <cell r="A115">
            <v>45338</v>
          </cell>
        </row>
        <row r="116">
          <cell r="A116">
            <v>45338</v>
          </cell>
        </row>
        <row r="117">
          <cell r="A117">
            <v>45338</v>
          </cell>
        </row>
        <row r="118">
          <cell r="A118">
            <v>45338</v>
          </cell>
        </row>
        <row r="119">
          <cell r="A119">
            <v>45341</v>
          </cell>
        </row>
        <row r="120">
          <cell r="A120">
            <v>45341</v>
          </cell>
        </row>
        <row r="121">
          <cell r="A121">
            <v>45341</v>
          </cell>
        </row>
        <row r="122">
          <cell r="A122">
            <v>45341</v>
          </cell>
        </row>
        <row r="123">
          <cell r="A123">
            <v>45341</v>
          </cell>
        </row>
        <row r="124">
          <cell r="A124">
            <v>45341</v>
          </cell>
        </row>
        <row r="125">
          <cell r="A125">
            <v>45341</v>
          </cell>
        </row>
        <row r="126">
          <cell r="A126">
            <v>45341</v>
          </cell>
        </row>
        <row r="127">
          <cell r="A127">
            <v>45341</v>
          </cell>
        </row>
        <row r="128">
          <cell r="A128">
            <v>45352</v>
          </cell>
        </row>
        <row r="129">
          <cell r="A129">
            <v>45352</v>
          </cell>
        </row>
        <row r="130">
          <cell r="A130">
            <v>45352</v>
          </cell>
        </row>
        <row r="131">
          <cell r="A131">
            <v>45352</v>
          </cell>
        </row>
        <row r="132">
          <cell r="A132">
            <v>45352</v>
          </cell>
        </row>
        <row r="133">
          <cell r="A133">
            <v>45352</v>
          </cell>
        </row>
        <row r="134">
          <cell r="A134">
            <v>45352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4"/>
  <sheetViews>
    <sheetView topLeftCell="D1" workbookViewId="0">
      <selection activeCell="O136" sqref="O136"/>
    </sheetView>
  </sheetViews>
  <sheetFormatPr defaultRowHeight="15" x14ac:dyDescent="0.25"/>
  <cols>
    <col min="11" max="11" width="15.5703125" customWidth="1"/>
    <col min="12" max="12" width="43.57031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52</v>
      </c>
      <c r="K1" t="s">
        <v>6</v>
      </c>
      <c r="L1" t="s">
        <v>7</v>
      </c>
      <c r="M1" s="2" t="s">
        <v>194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329</v>
      </c>
      <c r="AG1" s="2" t="s">
        <v>71</v>
      </c>
      <c r="AH1" s="2" t="s">
        <v>72</v>
      </c>
      <c r="AI1" s="2" t="s">
        <v>73</v>
      </c>
      <c r="AJ1" s="2" t="s">
        <v>74</v>
      </c>
      <c r="AK1" s="2" t="s">
        <v>75</v>
      </c>
      <c r="AL1" s="2" t="s">
        <v>76</v>
      </c>
      <c r="AM1" s="2" t="s">
        <v>77</v>
      </c>
      <c r="AN1" s="2" t="s">
        <v>78</v>
      </c>
      <c r="AO1" s="2" t="s">
        <v>79</v>
      </c>
      <c r="AP1" s="2" t="s">
        <v>80</v>
      </c>
      <c r="AQ1" s="2" t="s">
        <v>81</v>
      </c>
      <c r="AR1" s="2" t="s">
        <v>82</v>
      </c>
      <c r="AS1" s="2" t="s">
        <v>83</v>
      </c>
      <c r="AT1" s="2" t="s">
        <v>84</v>
      </c>
      <c r="AU1" s="2" t="s">
        <v>85</v>
      </c>
      <c r="AV1" s="2" t="s">
        <v>86</v>
      </c>
      <c r="AW1" s="2" t="s">
        <v>87</v>
      </c>
      <c r="AX1" s="2" t="s">
        <v>88</v>
      </c>
      <c r="AY1" s="2" t="s">
        <v>89</v>
      </c>
      <c r="AZ1" s="2" t="s">
        <v>90</v>
      </c>
      <c r="BA1" s="2" t="s">
        <v>91</v>
      </c>
      <c r="BB1" s="2" t="s">
        <v>92</v>
      </c>
      <c r="BC1" s="2" t="s">
        <v>93</v>
      </c>
      <c r="BD1" s="2" t="s">
        <v>94</v>
      </c>
      <c r="BE1" s="2" t="s">
        <v>95</v>
      </c>
      <c r="BF1" s="2" t="s">
        <v>96</v>
      </c>
      <c r="BG1" s="2" t="s">
        <v>97</v>
      </c>
      <c r="BH1" s="2" t="s">
        <v>98</v>
      </c>
      <c r="BI1" s="2" t="s">
        <v>99</v>
      </c>
      <c r="BJ1" s="2" t="s">
        <v>100</v>
      </c>
      <c r="BK1" s="2" t="s">
        <v>139</v>
      </c>
      <c r="BL1" s="2" t="s">
        <v>140</v>
      </c>
      <c r="BM1" s="2" t="s">
        <v>141</v>
      </c>
      <c r="BN1" s="2" t="s">
        <v>142</v>
      </c>
    </row>
    <row r="2" spans="1:66" x14ac:dyDescent="0.25">
      <c r="A2">
        <f>YEAR([1]chla!A2)</f>
        <v>2024</v>
      </c>
      <c r="B2">
        <f>MONTH([1]chla!A2)</f>
        <v>1</v>
      </c>
      <c r="C2">
        <f>DAY([1]chla!A2)</f>
        <v>26</v>
      </c>
      <c r="D2">
        <v>-64.096450000000004</v>
      </c>
      <c r="E2">
        <v>-56.145679999999999</v>
      </c>
      <c r="F2">
        <v>60.119</v>
      </c>
      <c r="G2">
        <v>0.28217743341097401</v>
      </c>
      <c r="H2">
        <v>1.75801365847475E-2</v>
      </c>
      <c r="I2">
        <v>0.237193199283801</v>
      </c>
      <c r="J2">
        <v>2.7404097542425201E-2</v>
      </c>
      <c r="K2" t="s">
        <v>8</v>
      </c>
      <c r="L2" t="s">
        <v>9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  <c r="U2" t="s">
        <v>138</v>
      </c>
      <c r="V2" t="s">
        <v>138</v>
      </c>
      <c r="W2" t="s">
        <v>138</v>
      </c>
      <c r="X2" t="s">
        <v>138</v>
      </c>
      <c r="Y2" t="s">
        <v>138</v>
      </c>
      <c r="Z2" t="s">
        <v>138</v>
      </c>
      <c r="AA2" t="s">
        <v>138</v>
      </c>
      <c r="AB2" t="s">
        <v>138</v>
      </c>
      <c r="AC2" t="s">
        <v>138</v>
      </c>
      <c r="AD2" t="s">
        <v>138</v>
      </c>
      <c r="AE2" t="s">
        <v>138</v>
      </c>
      <c r="AF2" t="s">
        <v>138</v>
      </c>
      <c r="AG2" t="s">
        <v>138</v>
      </c>
      <c r="AH2" t="s">
        <v>138</v>
      </c>
      <c r="AI2" t="s">
        <v>138</v>
      </c>
      <c r="AJ2" t="s">
        <v>138</v>
      </c>
      <c r="AK2" t="s">
        <v>138</v>
      </c>
      <c r="AL2" t="s">
        <v>138</v>
      </c>
      <c r="AM2" t="s">
        <v>138</v>
      </c>
      <c r="AN2" t="s">
        <v>138</v>
      </c>
      <c r="AO2" t="s">
        <v>138</v>
      </c>
      <c r="AP2" t="s">
        <v>138</v>
      </c>
      <c r="AQ2" t="s">
        <v>138</v>
      </c>
      <c r="AR2" t="s">
        <v>138</v>
      </c>
      <c r="AS2" t="s">
        <v>138</v>
      </c>
      <c r="AT2" t="s">
        <v>138</v>
      </c>
      <c r="AU2" t="s">
        <v>138</v>
      </c>
      <c r="AV2" t="s">
        <v>138</v>
      </c>
      <c r="AW2" t="s">
        <v>138</v>
      </c>
      <c r="AX2" t="s">
        <v>138</v>
      </c>
      <c r="AY2" t="s">
        <v>138</v>
      </c>
      <c r="AZ2" t="s">
        <v>138</v>
      </c>
      <c r="BA2" t="s">
        <v>138</v>
      </c>
      <c r="BB2" t="s">
        <v>138</v>
      </c>
      <c r="BC2" t="s">
        <v>138</v>
      </c>
      <c r="BD2" t="s">
        <v>138</v>
      </c>
      <c r="BE2" t="s">
        <v>138</v>
      </c>
      <c r="BF2" t="s">
        <v>138</v>
      </c>
      <c r="BG2" t="s">
        <v>138</v>
      </c>
      <c r="BH2" t="s">
        <v>138</v>
      </c>
      <c r="BI2" t="s">
        <v>138</v>
      </c>
      <c r="BJ2" t="s">
        <v>138</v>
      </c>
      <c r="BK2" t="s">
        <v>138</v>
      </c>
      <c r="BL2" t="s">
        <v>138</v>
      </c>
      <c r="BM2" t="s">
        <v>138</v>
      </c>
      <c r="BN2" t="s">
        <v>138</v>
      </c>
    </row>
    <row r="3" spans="1:66" x14ac:dyDescent="0.25">
      <c r="A3">
        <f>YEAR([1]chla!A3)</f>
        <v>2024</v>
      </c>
      <c r="B3">
        <f>MONTH([1]chla!A3)</f>
        <v>1</v>
      </c>
      <c r="C3">
        <f>DAY([1]chla!A3)</f>
        <v>26</v>
      </c>
      <c r="D3">
        <v>-64.096450000000004</v>
      </c>
      <c r="E3">
        <v>-56.145679999999999</v>
      </c>
      <c r="F3">
        <v>36.905000000000001</v>
      </c>
      <c r="G3">
        <v>0.41701922010426001</v>
      </c>
      <c r="H3">
        <v>1.50449208537338E-2</v>
      </c>
      <c r="I3">
        <v>0.345573671784633</v>
      </c>
      <c r="J3">
        <v>5.6400627465893402E-2</v>
      </c>
      <c r="K3" t="s">
        <v>8</v>
      </c>
      <c r="L3" t="s">
        <v>9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  <c r="U3" t="s">
        <v>138</v>
      </c>
      <c r="V3" t="s">
        <v>138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138</v>
      </c>
      <c r="AG3" t="s">
        <v>138</v>
      </c>
      <c r="AH3" t="s">
        <v>138</v>
      </c>
      <c r="AI3" t="s">
        <v>138</v>
      </c>
      <c r="AJ3" t="s">
        <v>138</v>
      </c>
      <c r="AK3" t="s">
        <v>138</v>
      </c>
      <c r="AL3" t="s">
        <v>138</v>
      </c>
      <c r="AM3" t="s">
        <v>138</v>
      </c>
      <c r="AN3" t="s">
        <v>138</v>
      </c>
      <c r="AO3" t="s">
        <v>138</v>
      </c>
      <c r="AP3" t="s">
        <v>138</v>
      </c>
      <c r="AQ3" t="s">
        <v>138</v>
      </c>
      <c r="AR3" t="s">
        <v>138</v>
      </c>
      <c r="AS3" t="s">
        <v>138</v>
      </c>
      <c r="AT3" t="s">
        <v>138</v>
      </c>
      <c r="AU3" t="s">
        <v>138</v>
      </c>
      <c r="AV3" t="s">
        <v>138</v>
      </c>
      <c r="AW3" t="s">
        <v>138</v>
      </c>
      <c r="AX3" t="s">
        <v>138</v>
      </c>
      <c r="AY3" t="s">
        <v>138</v>
      </c>
      <c r="AZ3" t="s">
        <v>138</v>
      </c>
      <c r="BA3" t="s">
        <v>138</v>
      </c>
      <c r="BB3" t="s">
        <v>138</v>
      </c>
      <c r="BC3" t="s">
        <v>138</v>
      </c>
      <c r="BD3" t="s">
        <v>138</v>
      </c>
      <c r="BE3" t="s">
        <v>138</v>
      </c>
      <c r="BF3" t="s">
        <v>138</v>
      </c>
      <c r="BG3" t="s">
        <v>138</v>
      </c>
      <c r="BH3" t="s">
        <v>138</v>
      </c>
      <c r="BI3" t="s">
        <v>138</v>
      </c>
      <c r="BJ3" t="s">
        <v>138</v>
      </c>
      <c r="BK3" t="s">
        <v>138</v>
      </c>
      <c r="BL3" t="s">
        <v>138</v>
      </c>
      <c r="BM3" t="s">
        <v>138</v>
      </c>
      <c r="BN3" t="s">
        <v>138</v>
      </c>
    </row>
    <row r="4" spans="1:66" x14ac:dyDescent="0.25">
      <c r="A4">
        <f>YEAR([1]chla!A4)</f>
        <v>2024</v>
      </c>
      <c r="B4">
        <f>MONTH([1]chla!A4)</f>
        <v>1</v>
      </c>
      <c r="C4">
        <f>DAY([1]chla!A4)</f>
        <v>26</v>
      </c>
      <c r="D4">
        <v>-64.096450000000004</v>
      </c>
      <c r="E4">
        <v>-56.145679999999999</v>
      </c>
      <c r="F4">
        <v>22.550999999999998</v>
      </c>
      <c r="G4">
        <v>0.40862131799527801</v>
      </c>
      <c r="H4">
        <v>1.8213940517500901E-2</v>
      </c>
      <c r="I4">
        <v>0.33115463231449299</v>
      </c>
      <c r="J4">
        <v>5.9252745163283702E-2</v>
      </c>
      <c r="K4" t="s">
        <v>8</v>
      </c>
      <c r="L4" t="s">
        <v>10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  <c r="U4" t="s">
        <v>138</v>
      </c>
      <c r="V4" t="s">
        <v>138</v>
      </c>
      <c r="W4" t="s">
        <v>138</v>
      </c>
      <c r="X4" t="s">
        <v>138</v>
      </c>
      <c r="Y4" t="s">
        <v>138</v>
      </c>
      <c r="Z4" t="s">
        <v>138</v>
      </c>
      <c r="AA4" t="s">
        <v>138</v>
      </c>
      <c r="AB4" t="s">
        <v>138</v>
      </c>
      <c r="AC4" t="s">
        <v>138</v>
      </c>
      <c r="AD4" t="s">
        <v>138</v>
      </c>
      <c r="AE4" t="s">
        <v>138</v>
      </c>
      <c r="AF4" t="s">
        <v>138</v>
      </c>
      <c r="AG4" t="s">
        <v>138</v>
      </c>
      <c r="AH4" t="s">
        <v>138</v>
      </c>
      <c r="AI4" t="s">
        <v>138</v>
      </c>
      <c r="AJ4" t="s">
        <v>138</v>
      </c>
      <c r="AK4" t="s">
        <v>138</v>
      </c>
      <c r="AL4" t="s">
        <v>138</v>
      </c>
      <c r="AM4" t="s">
        <v>138</v>
      </c>
      <c r="AN4" t="s">
        <v>138</v>
      </c>
      <c r="AO4" t="s">
        <v>138</v>
      </c>
      <c r="AP4" t="s">
        <v>138</v>
      </c>
      <c r="AQ4" t="s">
        <v>138</v>
      </c>
      <c r="AR4" t="s">
        <v>138</v>
      </c>
      <c r="AS4" t="s">
        <v>138</v>
      </c>
      <c r="AT4" t="s">
        <v>138</v>
      </c>
      <c r="AU4" t="s">
        <v>138</v>
      </c>
      <c r="AV4" t="s">
        <v>138</v>
      </c>
      <c r="AW4" t="s">
        <v>138</v>
      </c>
      <c r="AX4" t="s">
        <v>138</v>
      </c>
      <c r="AY4" t="s">
        <v>138</v>
      </c>
      <c r="AZ4" t="s">
        <v>138</v>
      </c>
      <c r="BA4" t="s">
        <v>138</v>
      </c>
      <c r="BB4" t="s">
        <v>138</v>
      </c>
      <c r="BC4" t="s">
        <v>138</v>
      </c>
      <c r="BD4" t="s">
        <v>138</v>
      </c>
      <c r="BE4" t="s">
        <v>138</v>
      </c>
      <c r="BF4" t="s">
        <v>138</v>
      </c>
      <c r="BG4" t="s">
        <v>138</v>
      </c>
      <c r="BH4" t="s">
        <v>138</v>
      </c>
      <c r="BI4" t="s">
        <v>138</v>
      </c>
      <c r="BJ4" t="s">
        <v>138</v>
      </c>
      <c r="BK4" t="s">
        <v>138</v>
      </c>
      <c r="BL4" t="s">
        <v>138</v>
      </c>
      <c r="BM4" t="s">
        <v>138</v>
      </c>
      <c r="BN4" t="s">
        <v>138</v>
      </c>
    </row>
    <row r="5" spans="1:66" x14ac:dyDescent="0.25">
      <c r="A5">
        <f>YEAR([1]chla!A5)</f>
        <v>2024</v>
      </c>
      <c r="B5">
        <f>MONTH([1]chla!A5)</f>
        <v>1</v>
      </c>
      <c r="C5">
        <f>DAY([1]chla!A5)</f>
        <v>26</v>
      </c>
      <c r="D5">
        <v>-64.096450000000004</v>
      </c>
      <c r="E5">
        <v>-56.145679999999999</v>
      </c>
      <c r="F5">
        <v>14.404</v>
      </c>
      <c r="G5">
        <v>0.48024116239641201</v>
      </c>
      <c r="H5">
        <v>4.6418215525027298E-2</v>
      </c>
      <c r="I5">
        <v>0.39421812362345698</v>
      </c>
      <c r="J5">
        <v>3.9604823247928203E-2</v>
      </c>
      <c r="K5" t="s">
        <v>8</v>
      </c>
      <c r="L5" t="s">
        <v>10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  <c r="U5" t="s">
        <v>138</v>
      </c>
      <c r="V5" t="s">
        <v>138</v>
      </c>
      <c r="W5" t="s">
        <v>138</v>
      </c>
      <c r="X5" t="s">
        <v>138</v>
      </c>
      <c r="Y5" t="s">
        <v>138</v>
      </c>
      <c r="Z5" t="s">
        <v>138</v>
      </c>
      <c r="AA5" t="s">
        <v>138</v>
      </c>
      <c r="AB5" t="s">
        <v>138</v>
      </c>
      <c r="AC5" t="s">
        <v>138</v>
      </c>
      <c r="AD5" t="s">
        <v>138</v>
      </c>
      <c r="AE5" t="s">
        <v>138</v>
      </c>
      <c r="AF5" t="s">
        <v>138</v>
      </c>
      <c r="AG5" t="s">
        <v>138</v>
      </c>
      <c r="AH5" t="s">
        <v>138</v>
      </c>
      <c r="AI5" t="s">
        <v>138</v>
      </c>
      <c r="AJ5" t="s">
        <v>138</v>
      </c>
      <c r="AK5" t="s">
        <v>138</v>
      </c>
      <c r="AL5" t="s">
        <v>138</v>
      </c>
      <c r="AM5" t="s">
        <v>138</v>
      </c>
      <c r="AN5" t="s">
        <v>138</v>
      </c>
      <c r="AO5" t="s">
        <v>138</v>
      </c>
      <c r="AP5" t="s">
        <v>138</v>
      </c>
      <c r="AQ5" t="s">
        <v>138</v>
      </c>
      <c r="AR5" t="s">
        <v>138</v>
      </c>
      <c r="AS5" t="s">
        <v>138</v>
      </c>
      <c r="AT5" t="s">
        <v>138</v>
      </c>
      <c r="AU5" t="s">
        <v>138</v>
      </c>
      <c r="AV5" t="s">
        <v>138</v>
      </c>
      <c r="AW5" t="s">
        <v>138</v>
      </c>
      <c r="AX5" t="s">
        <v>138</v>
      </c>
      <c r="AY5" t="s">
        <v>138</v>
      </c>
      <c r="AZ5" t="s">
        <v>138</v>
      </c>
      <c r="BA5" t="s">
        <v>138</v>
      </c>
      <c r="BB5" t="s">
        <v>138</v>
      </c>
      <c r="BC5" t="s">
        <v>138</v>
      </c>
      <c r="BD5" t="s">
        <v>138</v>
      </c>
      <c r="BE5" t="s">
        <v>138</v>
      </c>
      <c r="BF5" t="s">
        <v>138</v>
      </c>
      <c r="BG5" t="s">
        <v>138</v>
      </c>
      <c r="BH5" t="s">
        <v>138</v>
      </c>
      <c r="BI5" t="s">
        <v>138</v>
      </c>
      <c r="BJ5" t="s">
        <v>138</v>
      </c>
      <c r="BK5" t="s">
        <v>138</v>
      </c>
      <c r="BL5" t="s">
        <v>138</v>
      </c>
      <c r="BM5" t="s">
        <v>138</v>
      </c>
      <c r="BN5" t="s">
        <v>138</v>
      </c>
    </row>
    <row r="6" spans="1:66" x14ac:dyDescent="0.25">
      <c r="A6">
        <f>YEAR([1]chla!A6)</f>
        <v>2024</v>
      </c>
      <c r="B6">
        <f>MONTH([1]chla!A6)</f>
        <v>1</v>
      </c>
      <c r="C6">
        <f>DAY([1]chla!A6)</f>
        <v>26</v>
      </c>
      <c r="D6">
        <v>-64.096450000000004</v>
      </c>
      <c r="E6">
        <v>-56.145679999999999</v>
      </c>
      <c r="F6">
        <v>11.292999999999999</v>
      </c>
      <c r="G6">
        <v>0.37598041545847699</v>
      </c>
      <c r="H6">
        <v>7.1223716943163602E-3</v>
      </c>
      <c r="I6">
        <v>0.34684127965014</v>
      </c>
      <c r="J6">
        <v>2.2016764114021301E-2</v>
      </c>
      <c r="K6" t="s">
        <v>8</v>
      </c>
      <c r="L6" t="s">
        <v>10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  <c r="U6" t="s">
        <v>138</v>
      </c>
      <c r="V6" t="s">
        <v>138</v>
      </c>
      <c r="W6" t="s">
        <v>138</v>
      </c>
      <c r="X6" t="s">
        <v>138</v>
      </c>
      <c r="Y6" t="s">
        <v>138</v>
      </c>
      <c r="Z6" t="s">
        <v>138</v>
      </c>
      <c r="AA6" t="s">
        <v>138</v>
      </c>
      <c r="AB6" t="s">
        <v>138</v>
      </c>
      <c r="AC6" t="s">
        <v>138</v>
      </c>
      <c r="AD6" t="s">
        <v>138</v>
      </c>
      <c r="AE6" t="s">
        <v>138</v>
      </c>
      <c r="AF6" t="s">
        <v>138</v>
      </c>
      <c r="AG6" t="s">
        <v>138</v>
      </c>
      <c r="AH6" t="s">
        <v>138</v>
      </c>
      <c r="AI6" t="s">
        <v>138</v>
      </c>
      <c r="AJ6" t="s">
        <v>138</v>
      </c>
      <c r="AK6" t="s">
        <v>138</v>
      </c>
      <c r="AL6" t="s">
        <v>138</v>
      </c>
      <c r="AM6" t="s">
        <v>138</v>
      </c>
      <c r="AN6" t="s">
        <v>138</v>
      </c>
      <c r="AO6" t="s">
        <v>138</v>
      </c>
      <c r="AP6" t="s">
        <v>138</v>
      </c>
      <c r="AQ6" t="s">
        <v>138</v>
      </c>
      <c r="AR6" t="s">
        <v>138</v>
      </c>
      <c r="AS6" t="s">
        <v>138</v>
      </c>
      <c r="AT6" t="s">
        <v>138</v>
      </c>
      <c r="AU6" t="s">
        <v>138</v>
      </c>
      <c r="AV6" t="s">
        <v>138</v>
      </c>
      <c r="AW6" t="s">
        <v>138</v>
      </c>
      <c r="AX6" t="s">
        <v>138</v>
      </c>
      <c r="AY6" t="s">
        <v>138</v>
      </c>
      <c r="AZ6" t="s">
        <v>138</v>
      </c>
      <c r="BA6" t="s">
        <v>138</v>
      </c>
      <c r="BB6" t="s">
        <v>138</v>
      </c>
      <c r="BC6" t="s">
        <v>138</v>
      </c>
      <c r="BD6" t="s">
        <v>138</v>
      </c>
      <c r="BE6" t="s">
        <v>138</v>
      </c>
      <c r="BF6" t="s">
        <v>138</v>
      </c>
      <c r="BG6" t="s">
        <v>138</v>
      </c>
      <c r="BH6" t="s">
        <v>138</v>
      </c>
      <c r="BI6" t="s">
        <v>138</v>
      </c>
      <c r="BJ6" t="s">
        <v>138</v>
      </c>
      <c r="BK6" t="s">
        <v>138</v>
      </c>
      <c r="BL6" t="s">
        <v>138</v>
      </c>
      <c r="BM6" t="s">
        <v>138</v>
      </c>
      <c r="BN6" t="s">
        <v>138</v>
      </c>
    </row>
    <row r="7" spans="1:66" x14ac:dyDescent="0.25">
      <c r="A7">
        <f>YEAR([1]chla!A7)</f>
        <v>2024</v>
      </c>
      <c r="B7">
        <f>MONTH([1]chla!A7)</f>
        <v>1</v>
      </c>
      <c r="C7">
        <f>DAY([1]chla!A7)</f>
        <v>26</v>
      </c>
      <c r="D7">
        <v>-64.096450000000004</v>
      </c>
      <c r="E7">
        <v>-56.145679999999999</v>
      </c>
      <c r="F7">
        <v>2.7810000000000001</v>
      </c>
      <c r="G7">
        <v>0.45092773050656698</v>
      </c>
      <c r="H7">
        <v>2.9939313273438801E-2</v>
      </c>
      <c r="I7">
        <v>0.39897165311910698</v>
      </c>
      <c r="J7">
        <v>2.2016764114021301E-2</v>
      </c>
      <c r="K7" t="s">
        <v>8</v>
      </c>
      <c r="L7" t="s">
        <v>10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  <c r="U7" t="s">
        <v>138</v>
      </c>
      <c r="V7" t="s">
        <v>138</v>
      </c>
      <c r="W7" t="s">
        <v>138</v>
      </c>
      <c r="X7" t="s">
        <v>138</v>
      </c>
      <c r="Y7" t="s">
        <v>138</v>
      </c>
      <c r="Z7" t="s">
        <v>138</v>
      </c>
      <c r="AA7" t="s">
        <v>138</v>
      </c>
      <c r="AB7" t="s">
        <v>138</v>
      </c>
      <c r="AC7" t="s">
        <v>138</v>
      </c>
      <c r="AD7" t="s">
        <v>138</v>
      </c>
      <c r="AE7" t="s">
        <v>138</v>
      </c>
      <c r="AF7" t="s">
        <v>138</v>
      </c>
      <c r="AG7" t="s">
        <v>138</v>
      </c>
      <c r="AH7" t="s">
        <v>138</v>
      </c>
      <c r="AI7" t="s">
        <v>138</v>
      </c>
      <c r="AJ7" t="s">
        <v>138</v>
      </c>
      <c r="AK7" t="s">
        <v>138</v>
      </c>
      <c r="AL7" t="s">
        <v>138</v>
      </c>
      <c r="AM7" t="s">
        <v>138</v>
      </c>
      <c r="AN7" t="s">
        <v>138</v>
      </c>
      <c r="AO7" t="s">
        <v>138</v>
      </c>
      <c r="AP7" t="s">
        <v>138</v>
      </c>
      <c r="AQ7" t="s">
        <v>138</v>
      </c>
      <c r="AR7" t="s">
        <v>138</v>
      </c>
      <c r="AS7" t="s">
        <v>138</v>
      </c>
      <c r="AT7" t="s">
        <v>138</v>
      </c>
      <c r="AU7" t="s">
        <v>138</v>
      </c>
      <c r="AV7" t="s">
        <v>138</v>
      </c>
      <c r="AW7" t="s">
        <v>138</v>
      </c>
      <c r="AX7" t="s">
        <v>138</v>
      </c>
      <c r="AY7" t="s">
        <v>138</v>
      </c>
      <c r="AZ7" t="s">
        <v>138</v>
      </c>
      <c r="BA7" t="s">
        <v>138</v>
      </c>
      <c r="BB7" t="s">
        <v>138</v>
      </c>
      <c r="BC7" t="s">
        <v>138</v>
      </c>
      <c r="BD7" t="s">
        <v>138</v>
      </c>
      <c r="BE7" t="s">
        <v>138</v>
      </c>
      <c r="BF7" t="s">
        <v>138</v>
      </c>
      <c r="BG7" t="s">
        <v>138</v>
      </c>
      <c r="BH7" t="s">
        <v>138</v>
      </c>
      <c r="BI7" t="s">
        <v>138</v>
      </c>
      <c r="BJ7" t="s">
        <v>138</v>
      </c>
      <c r="BK7">
        <v>2.6817571643481202</v>
      </c>
      <c r="BL7">
        <v>0.25810527183041609</v>
      </c>
      <c r="BM7">
        <v>0.54065228165303392</v>
      </c>
      <c r="BN7">
        <v>0.63276125862107901</v>
      </c>
    </row>
    <row r="8" spans="1:66" x14ac:dyDescent="0.25">
      <c r="A8">
        <f>YEAR([1]chla!A8)</f>
        <v>2024</v>
      </c>
      <c r="B8">
        <f>MONTH([1]chla!A8)</f>
        <v>1</v>
      </c>
      <c r="C8">
        <f>DAY([1]chla!A8)</f>
        <v>28</v>
      </c>
      <c r="D8">
        <v>-64.560360000000003</v>
      </c>
      <c r="E8">
        <v>-55.06062</v>
      </c>
      <c r="F8">
        <v>53.634999999999998</v>
      </c>
      <c r="G8">
        <v>0.73645640221197495</v>
      </c>
      <c r="H8">
        <v>0.15384798212672901</v>
      </c>
      <c r="I8">
        <v>0.54680642043383798</v>
      </c>
      <c r="J8">
        <v>3.5801999651407797E-2</v>
      </c>
      <c r="K8" t="s">
        <v>11</v>
      </c>
      <c r="L8" s="1" t="s">
        <v>12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  <c r="U8" t="s">
        <v>138</v>
      </c>
      <c r="V8" t="s">
        <v>138</v>
      </c>
      <c r="W8" t="s">
        <v>138</v>
      </c>
      <c r="X8" t="s">
        <v>138</v>
      </c>
      <c r="Y8" t="s">
        <v>138</v>
      </c>
      <c r="Z8" t="s">
        <v>138</v>
      </c>
      <c r="AA8" t="s">
        <v>138</v>
      </c>
      <c r="AB8" t="s">
        <v>138</v>
      </c>
      <c r="AC8" t="s">
        <v>138</v>
      </c>
      <c r="AD8" t="s">
        <v>138</v>
      </c>
      <c r="AE8" t="s">
        <v>138</v>
      </c>
      <c r="AF8" t="s">
        <v>138</v>
      </c>
      <c r="AG8" t="s">
        <v>138</v>
      </c>
      <c r="AH8" t="s">
        <v>138</v>
      </c>
      <c r="AI8" t="s">
        <v>138</v>
      </c>
      <c r="AJ8" t="s">
        <v>138</v>
      </c>
      <c r="AK8" t="s">
        <v>138</v>
      </c>
      <c r="AL8" t="s">
        <v>138</v>
      </c>
      <c r="AM8" t="s">
        <v>138</v>
      </c>
      <c r="AN8" t="s">
        <v>138</v>
      </c>
      <c r="AO8" t="s">
        <v>138</v>
      </c>
      <c r="AP8" t="s">
        <v>138</v>
      </c>
      <c r="AQ8" t="s">
        <v>138</v>
      </c>
      <c r="AR8" t="s">
        <v>138</v>
      </c>
      <c r="AS8" t="s">
        <v>138</v>
      </c>
      <c r="AT8" t="s">
        <v>138</v>
      </c>
      <c r="AU8" t="s">
        <v>138</v>
      </c>
      <c r="AV8" t="s">
        <v>138</v>
      </c>
      <c r="AW8" t="s">
        <v>138</v>
      </c>
      <c r="AX8" t="s">
        <v>138</v>
      </c>
      <c r="AY8" t="s">
        <v>138</v>
      </c>
      <c r="AZ8" t="s">
        <v>138</v>
      </c>
      <c r="BA8" t="s">
        <v>138</v>
      </c>
      <c r="BB8" t="s">
        <v>138</v>
      </c>
      <c r="BC8" t="s">
        <v>138</v>
      </c>
      <c r="BD8" t="s">
        <v>138</v>
      </c>
      <c r="BE8" t="s">
        <v>138</v>
      </c>
      <c r="BF8" t="s">
        <v>138</v>
      </c>
      <c r="BG8" t="s">
        <v>138</v>
      </c>
      <c r="BH8" t="s">
        <v>138</v>
      </c>
      <c r="BI8" t="s">
        <v>138</v>
      </c>
      <c r="BJ8" t="s">
        <v>138</v>
      </c>
      <c r="BK8" t="s">
        <v>138</v>
      </c>
      <c r="BL8" t="s">
        <v>138</v>
      </c>
      <c r="BM8" t="s">
        <v>138</v>
      </c>
      <c r="BN8" t="s">
        <v>138</v>
      </c>
    </row>
    <row r="9" spans="1:66" x14ac:dyDescent="0.25">
      <c r="A9">
        <f>YEAR([1]chla!A9)</f>
        <v>2024</v>
      </c>
      <c r="B9">
        <f>MONTH([1]chla!A9)</f>
        <v>1</v>
      </c>
      <c r="C9">
        <f>DAY([1]chla!A9)</f>
        <v>28</v>
      </c>
      <c r="D9">
        <v>-64.560360000000003</v>
      </c>
      <c r="E9">
        <v>-55.06062</v>
      </c>
      <c r="F9">
        <v>33.716999999999999</v>
      </c>
      <c r="G9">
        <v>0.74295289252269803</v>
      </c>
      <c r="H9">
        <v>8.4288000507043104E-2</v>
      </c>
      <c r="I9">
        <v>0.62159528449874002</v>
      </c>
      <c r="J9">
        <v>3.7069607516914599E-2</v>
      </c>
      <c r="K9" t="s">
        <v>11</v>
      </c>
      <c r="L9" s="1" t="s">
        <v>12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  <c r="U9" t="s">
        <v>138</v>
      </c>
      <c r="V9" t="s">
        <v>138</v>
      </c>
      <c r="W9" t="s">
        <v>138</v>
      </c>
      <c r="X9" t="s">
        <v>138</v>
      </c>
      <c r="Y9" t="s">
        <v>138</v>
      </c>
      <c r="Z9" t="s">
        <v>138</v>
      </c>
      <c r="AA9" t="s">
        <v>138</v>
      </c>
      <c r="AB9" t="s">
        <v>138</v>
      </c>
      <c r="AC9" t="s">
        <v>138</v>
      </c>
      <c r="AD9" t="s">
        <v>138</v>
      </c>
      <c r="AE9" t="s">
        <v>138</v>
      </c>
      <c r="AF9" t="s">
        <v>138</v>
      </c>
      <c r="AG9" t="s">
        <v>138</v>
      </c>
      <c r="AH9" t="s">
        <v>138</v>
      </c>
      <c r="AI9" t="s">
        <v>138</v>
      </c>
      <c r="AJ9" t="s">
        <v>138</v>
      </c>
      <c r="AK9" t="s">
        <v>138</v>
      </c>
      <c r="AL9" t="s">
        <v>138</v>
      </c>
      <c r="AM9" t="s">
        <v>138</v>
      </c>
      <c r="AN9" t="s">
        <v>138</v>
      </c>
      <c r="AO9" t="s">
        <v>138</v>
      </c>
      <c r="AP9" t="s">
        <v>138</v>
      </c>
      <c r="AQ9" t="s">
        <v>138</v>
      </c>
      <c r="AR9" t="s">
        <v>138</v>
      </c>
      <c r="AS9" t="s">
        <v>138</v>
      </c>
      <c r="AT9" t="s">
        <v>138</v>
      </c>
      <c r="AU9" t="s">
        <v>138</v>
      </c>
      <c r="AV9" t="s">
        <v>138</v>
      </c>
      <c r="AW9" t="s">
        <v>138</v>
      </c>
      <c r="AX9" t="s">
        <v>138</v>
      </c>
      <c r="AY9" t="s">
        <v>138</v>
      </c>
      <c r="AZ9" t="s">
        <v>138</v>
      </c>
      <c r="BA9" t="s">
        <v>138</v>
      </c>
      <c r="BB9" t="s">
        <v>138</v>
      </c>
      <c r="BC9" t="s">
        <v>138</v>
      </c>
      <c r="BD9" t="s">
        <v>138</v>
      </c>
      <c r="BE9" t="s">
        <v>138</v>
      </c>
      <c r="BF9" t="s">
        <v>138</v>
      </c>
      <c r="BG9" t="s">
        <v>138</v>
      </c>
      <c r="BH9" t="s">
        <v>138</v>
      </c>
      <c r="BI9" t="s">
        <v>138</v>
      </c>
      <c r="BJ9" t="s">
        <v>138</v>
      </c>
      <c r="BK9" t="s">
        <v>138</v>
      </c>
      <c r="BL9" t="s">
        <v>138</v>
      </c>
      <c r="BM9" t="s">
        <v>138</v>
      </c>
      <c r="BN9" t="s">
        <v>138</v>
      </c>
    </row>
    <row r="10" spans="1:66" x14ac:dyDescent="0.25">
      <c r="A10">
        <f>YEAR([1]chla!A10)</f>
        <v>2024</v>
      </c>
      <c r="B10">
        <f>MONTH([1]chla!A10)</f>
        <v>1</v>
      </c>
      <c r="C10">
        <f>DAY([1]chla!A10)</f>
        <v>28</v>
      </c>
      <c r="D10">
        <v>-64.560360000000003</v>
      </c>
      <c r="E10">
        <v>-55.06062</v>
      </c>
      <c r="F10">
        <v>23.231999999999999</v>
      </c>
      <c r="G10">
        <v>0.97429132797769002</v>
      </c>
      <c r="H10">
        <v>6.9235157104149805E-2</v>
      </c>
      <c r="I10">
        <v>0.75310960054507103</v>
      </c>
      <c r="J10">
        <v>0.15194657032846801</v>
      </c>
      <c r="K10" t="s">
        <v>11</v>
      </c>
      <c r="L10" s="1" t="s">
        <v>13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  <c r="U10" t="s">
        <v>138</v>
      </c>
      <c r="V10" t="s">
        <v>138</v>
      </c>
      <c r="W10" t="s">
        <v>138</v>
      </c>
      <c r="X10" t="s">
        <v>138</v>
      </c>
      <c r="Y10" t="s">
        <v>138</v>
      </c>
      <c r="Z10" t="s">
        <v>138</v>
      </c>
      <c r="AA10" t="s">
        <v>138</v>
      </c>
      <c r="AB10" t="s">
        <v>138</v>
      </c>
      <c r="AC10" t="s">
        <v>138</v>
      </c>
      <c r="AD10" t="s">
        <v>138</v>
      </c>
      <c r="AE10" t="s">
        <v>138</v>
      </c>
      <c r="AF10" t="s">
        <v>138</v>
      </c>
      <c r="AG10" t="s">
        <v>138</v>
      </c>
      <c r="AH10" t="s">
        <v>138</v>
      </c>
      <c r="AI10" t="s">
        <v>138</v>
      </c>
      <c r="AJ10" t="s">
        <v>138</v>
      </c>
      <c r="AK10" t="s">
        <v>138</v>
      </c>
      <c r="AL10" t="s">
        <v>138</v>
      </c>
      <c r="AM10" t="s">
        <v>138</v>
      </c>
      <c r="AN10" t="s">
        <v>138</v>
      </c>
      <c r="AO10" t="s">
        <v>138</v>
      </c>
      <c r="AP10" t="s">
        <v>138</v>
      </c>
      <c r="AQ10" t="s">
        <v>138</v>
      </c>
      <c r="AR10" t="s">
        <v>138</v>
      </c>
      <c r="AS10" t="s">
        <v>138</v>
      </c>
      <c r="AT10" t="s">
        <v>138</v>
      </c>
      <c r="AU10" t="s">
        <v>138</v>
      </c>
      <c r="AV10" t="s">
        <v>138</v>
      </c>
      <c r="AW10" t="s">
        <v>138</v>
      </c>
      <c r="AX10" t="s">
        <v>138</v>
      </c>
      <c r="AY10" t="s">
        <v>138</v>
      </c>
      <c r="AZ10" t="s">
        <v>138</v>
      </c>
      <c r="BA10" t="s">
        <v>138</v>
      </c>
      <c r="BB10" t="s">
        <v>138</v>
      </c>
      <c r="BC10" t="s">
        <v>138</v>
      </c>
      <c r="BD10" t="s">
        <v>138</v>
      </c>
      <c r="BE10" t="s">
        <v>138</v>
      </c>
      <c r="BF10" t="s">
        <v>138</v>
      </c>
      <c r="BG10" t="s">
        <v>138</v>
      </c>
      <c r="BH10" t="s">
        <v>138</v>
      </c>
      <c r="BI10" t="s">
        <v>138</v>
      </c>
      <c r="BJ10" t="s">
        <v>138</v>
      </c>
      <c r="BK10" t="s">
        <v>138</v>
      </c>
      <c r="BL10" t="s">
        <v>138</v>
      </c>
      <c r="BM10" t="s">
        <v>138</v>
      </c>
      <c r="BN10" t="s">
        <v>138</v>
      </c>
    </row>
    <row r="11" spans="1:66" x14ac:dyDescent="0.25">
      <c r="A11">
        <f>YEAR([1]chla!A11)</f>
        <v>2024</v>
      </c>
      <c r="B11">
        <f>MONTH([1]chla!A11)</f>
        <v>1</v>
      </c>
      <c r="C11">
        <f>DAY([1]chla!A11)</f>
        <v>28</v>
      </c>
      <c r="D11">
        <v>-64.560360000000003</v>
      </c>
      <c r="E11">
        <v>-55.06062</v>
      </c>
      <c r="F11">
        <v>15.199</v>
      </c>
      <c r="G11">
        <v>0.86052352204845395</v>
      </c>
      <c r="H11">
        <v>8.1118980843276095E-2</v>
      </c>
      <c r="I11">
        <v>0.70335599182392905</v>
      </c>
      <c r="J11">
        <v>7.6048549381248901E-2</v>
      </c>
      <c r="K11" t="s">
        <v>11</v>
      </c>
      <c r="L11" s="1" t="s">
        <v>13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  <c r="U11" t="s">
        <v>138</v>
      </c>
      <c r="V11" t="s">
        <v>138</v>
      </c>
      <c r="W11" t="s">
        <v>138</v>
      </c>
      <c r="X11" t="s">
        <v>138</v>
      </c>
      <c r="Y11" t="s">
        <v>138</v>
      </c>
      <c r="Z11" t="s">
        <v>138</v>
      </c>
      <c r="AA11" t="s">
        <v>138</v>
      </c>
      <c r="AB11" t="s">
        <v>138</v>
      </c>
      <c r="AC11" t="s">
        <v>138</v>
      </c>
      <c r="AD11" t="s">
        <v>138</v>
      </c>
      <c r="AE11" t="s">
        <v>138</v>
      </c>
      <c r="AF11" t="s">
        <v>138</v>
      </c>
      <c r="AG11" t="s">
        <v>138</v>
      </c>
      <c r="AH11" t="s">
        <v>138</v>
      </c>
      <c r="AI11" t="s">
        <v>138</v>
      </c>
      <c r="AJ11" t="s">
        <v>138</v>
      </c>
      <c r="AK11" t="s">
        <v>138</v>
      </c>
      <c r="AL11" t="s">
        <v>138</v>
      </c>
      <c r="AM11" t="s">
        <v>138</v>
      </c>
      <c r="AN11" t="s">
        <v>138</v>
      </c>
      <c r="AO11" t="s">
        <v>138</v>
      </c>
      <c r="AP11" t="s">
        <v>138</v>
      </c>
      <c r="AQ11" t="s">
        <v>138</v>
      </c>
      <c r="AR11" t="s">
        <v>138</v>
      </c>
      <c r="AS11" t="s">
        <v>138</v>
      </c>
      <c r="AT11" t="s">
        <v>138</v>
      </c>
      <c r="AU11" t="s">
        <v>138</v>
      </c>
      <c r="AV11" t="s">
        <v>138</v>
      </c>
      <c r="AW11" t="s">
        <v>138</v>
      </c>
      <c r="AX11" t="s">
        <v>138</v>
      </c>
      <c r="AY11" t="s">
        <v>138</v>
      </c>
      <c r="AZ11" t="s">
        <v>138</v>
      </c>
      <c r="BA11" t="s">
        <v>138</v>
      </c>
      <c r="BB11" t="s">
        <v>138</v>
      </c>
      <c r="BC11" t="s">
        <v>138</v>
      </c>
      <c r="BD11" t="s">
        <v>138</v>
      </c>
      <c r="BE11" t="s">
        <v>138</v>
      </c>
      <c r="BF11" t="s">
        <v>138</v>
      </c>
      <c r="BG11" t="s">
        <v>138</v>
      </c>
      <c r="BH11" t="s">
        <v>138</v>
      </c>
      <c r="BI11" t="s">
        <v>138</v>
      </c>
      <c r="BJ11" t="s">
        <v>138</v>
      </c>
      <c r="BK11" t="s">
        <v>138</v>
      </c>
      <c r="BL11" t="s">
        <v>138</v>
      </c>
      <c r="BM11" t="s">
        <v>138</v>
      </c>
      <c r="BN11" t="s">
        <v>138</v>
      </c>
    </row>
    <row r="12" spans="1:66" x14ac:dyDescent="0.25">
      <c r="A12">
        <f>YEAR([1]chla!A12)</f>
        <v>2024</v>
      </c>
      <c r="B12">
        <f>MONTH([1]chla!A12)</f>
        <v>1</v>
      </c>
      <c r="C12">
        <f>DAY([1]chla!A12)</f>
        <v>28</v>
      </c>
      <c r="D12">
        <v>-64.560360000000003</v>
      </c>
      <c r="E12">
        <v>-55.06062</v>
      </c>
      <c r="F12">
        <v>8.8829999999999991</v>
      </c>
      <c r="G12">
        <v>0.67719573449953196</v>
      </c>
      <c r="H12">
        <v>8.7140118204433403E-2</v>
      </c>
      <c r="I12">
        <v>0.54094373405586904</v>
      </c>
      <c r="J12">
        <v>4.9111882239229201E-2</v>
      </c>
      <c r="K12" t="s">
        <v>11</v>
      </c>
      <c r="L12" s="1" t="s">
        <v>13</v>
      </c>
      <c r="M12" t="s">
        <v>197</v>
      </c>
      <c r="N12" t="s">
        <v>330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>
        <v>7</v>
      </c>
      <c r="U12" t="s">
        <v>138</v>
      </c>
      <c r="V12" t="s">
        <v>111</v>
      </c>
      <c r="W12">
        <v>0.14940000000000001</v>
      </c>
      <c r="X12">
        <v>0</v>
      </c>
      <c r="Y12">
        <v>6.6799999999999998E-2</v>
      </c>
      <c r="Z12">
        <v>1.18E-2</v>
      </c>
      <c r="AA12">
        <v>7.1199999999999999E-2</v>
      </c>
      <c r="AB12">
        <v>0</v>
      </c>
      <c r="AC12">
        <v>0</v>
      </c>
      <c r="AD12" t="s">
        <v>138</v>
      </c>
      <c r="AE12" t="s">
        <v>138</v>
      </c>
      <c r="AF12">
        <v>0.50419999999999998</v>
      </c>
      <c r="AG12">
        <v>0.34233999999999998</v>
      </c>
      <c r="AH12">
        <v>0.61533563124379265</v>
      </c>
      <c r="AI12">
        <v>0.38466436875620719</v>
      </c>
      <c r="AJ12">
        <v>0</v>
      </c>
      <c r="AK12">
        <v>0.31025222527312019</v>
      </c>
      <c r="AL12">
        <v>0.19394777472687971</v>
      </c>
      <c r="AM12">
        <v>0</v>
      </c>
      <c r="AN12">
        <v>0.63751200000000008</v>
      </c>
      <c r="AO12">
        <v>0</v>
      </c>
      <c r="AP12">
        <v>0.69300342581786689</v>
      </c>
      <c r="AQ12">
        <v>0.30699657418213311</v>
      </c>
      <c r="AR12">
        <v>0</v>
      </c>
      <c r="AS12">
        <v>0.34941232729736849</v>
      </c>
      <c r="AT12">
        <v>0.1547876727026315</v>
      </c>
      <c r="AU12">
        <v>0.47459000000000012</v>
      </c>
      <c r="AV12">
        <v>2.50647762365264E-3</v>
      </c>
      <c r="AW12">
        <v>0</v>
      </c>
      <c r="AX12">
        <v>0.4614409723448778</v>
      </c>
      <c r="AY12">
        <v>0.53855902765512209</v>
      </c>
      <c r="AZ12">
        <v>0</v>
      </c>
      <c r="BA12">
        <v>0.23265853825628741</v>
      </c>
      <c r="BB12">
        <v>0.27154146174371258</v>
      </c>
      <c r="BC12">
        <v>0.38595200000000007</v>
      </c>
      <c r="BD12">
        <v>1.3367647926503049E-2</v>
      </c>
      <c r="BE12">
        <v>0</v>
      </c>
      <c r="BF12">
        <v>0.54180297628838292</v>
      </c>
      <c r="BG12">
        <v>0.45819702371161702</v>
      </c>
      <c r="BH12">
        <v>0</v>
      </c>
      <c r="BI12">
        <v>0.27317706064460268</v>
      </c>
      <c r="BJ12">
        <v>0.23102293935539731</v>
      </c>
      <c r="BK12" t="s">
        <v>138</v>
      </c>
      <c r="BL12" t="s">
        <v>138</v>
      </c>
      <c r="BM12" t="s">
        <v>138</v>
      </c>
      <c r="BN12" t="s">
        <v>138</v>
      </c>
    </row>
    <row r="13" spans="1:66" x14ac:dyDescent="0.25">
      <c r="A13">
        <f>YEAR([1]chla!A13)</f>
        <v>2024</v>
      </c>
      <c r="B13">
        <f>MONTH([1]chla!A13)</f>
        <v>1</v>
      </c>
      <c r="C13">
        <f>DAY([1]chla!A13)</f>
        <v>28</v>
      </c>
      <c r="D13">
        <v>-64.560360000000003</v>
      </c>
      <c r="E13">
        <v>-55.06062</v>
      </c>
      <c r="F13">
        <v>2.5659999999999998</v>
      </c>
      <c r="G13">
        <v>0.67006544025605597</v>
      </c>
      <c r="H13">
        <v>7.0978117919221595E-2</v>
      </c>
      <c r="I13">
        <v>0.52256342000602096</v>
      </c>
      <c r="J13">
        <v>7.6523902330813895E-2</v>
      </c>
      <c r="K13" t="s">
        <v>11</v>
      </c>
      <c r="L13" s="1" t="s">
        <v>13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  <c r="U13" t="s">
        <v>138</v>
      </c>
      <c r="V13" t="s">
        <v>138</v>
      </c>
      <c r="W13" t="s">
        <v>138</v>
      </c>
      <c r="X13" t="s">
        <v>138</v>
      </c>
      <c r="Y13" t="s">
        <v>138</v>
      </c>
      <c r="Z13" t="s">
        <v>138</v>
      </c>
      <c r="AA13" t="s">
        <v>138</v>
      </c>
      <c r="AB13" t="s">
        <v>138</v>
      </c>
      <c r="AC13" t="s">
        <v>138</v>
      </c>
      <c r="AD13" t="s">
        <v>138</v>
      </c>
      <c r="AE13" t="s">
        <v>138</v>
      </c>
      <c r="AF13" t="s">
        <v>138</v>
      </c>
      <c r="AG13" t="s">
        <v>138</v>
      </c>
      <c r="AH13" t="s">
        <v>138</v>
      </c>
      <c r="AI13" t="s">
        <v>138</v>
      </c>
      <c r="AJ13" t="s">
        <v>138</v>
      </c>
      <c r="AK13" t="s">
        <v>138</v>
      </c>
      <c r="AL13" t="s">
        <v>138</v>
      </c>
      <c r="AM13" t="s">
        <v>138</v>
      </c>
      <c r="AN13" t="s">
        <v>138</v>
      </c>
      <c r="AO13" t="s">
        <v>138</v>
      </c>
      <c r="AP13" t="s">
        <v>138</v>
      </c>
      <c r="AQ13" t="s">
        <v>138</v>
      </c>
      <c r="AR13" t="s">
        <v>138</v>
      </c>
      <c r="AS13" t="s">
        <v>138</v>
      </c>
      <c r="AT13" t="s">
        <v>138</v>
      </c>
      <c r="AU13" t="s">
        <v>138</v>
      </c>
      <c r="AV13" t="s">
        <v>138</v>
      </c>
      <c r="AW13" t="s">
        <v>138</v>
      </c>
      <c r="AX13" t="s">
        <v>138</v>
      </c>
      <c r="AY13" t="s">
        <v>138</v>
      </c>
      <c r="AZ13" t="s">
        <v>138</v>
      </c>
      <c r="BA13" t="s">
        <v>138</v>
      </c>
      <c r="BB13" t="s">
        <v>138</v>
      </c>
      <c r="BC13" t="s">
        <v>138</v>
      </c>
      <c r="BD13" t="s">
        <v>138</v>
      </c>
      <c r="BE13" t="s">
        <v>138</v>
      </c>
      <c r="BF13" t="s">
        <v>138</v>
      </c>
      <c r="BG13" t="s">
        <v>138</v>
      </c>
      <c r="BH13" t="s">
        <v>138</v>
      </c>
      <c r="BI13" t="s">
        <v>138</v>
      </c>
      <c r="BJ13" t="s">
        <v>138</v>
      </c>
      <c r="BK13">
        <v>3.0266117775901011</v>
      </c>
      <c r="BL13">
        <v>0.21716116552543191</v>
      </c>
      <c r="BM13">
        <v>0.41305730738979379</v>
      </c>
      <c r="BN13">
        <v>0.45968424342939729</v>
      </c>
    </row>
    <row r="14" spans="1:66" x14ac:dyDescent="0.25">
      <c r="A14">
        <f>YEAR([1]chla!A14)</f>
        <v>2024</v>
      </c>
      <c r="B14">
        <f>MONTH([1]chla!A14)</f>
        <v>1</v>
      </c>
      <c r="C14">
        <f>DAY([1]chla!A14)</f>
        <v>30</v>
      </c>
      <c r="D14">
        <v>-64.587599999999995</v>
      </c>
      <c r="E14">
        <v>-55.085900000000002</v>
      </c>
      <c r="F14">
        <v>53.045000000000002</v>
      </c>
      <c r="G14">
        <v>0.52682583793316795</v>
      </c>
      <c r="H14">
        <v>0.115027683802643</v>
      </c>
      <c r="I14">
        <v>0.30342539363569299</v>
      </c>
      <c r="J14">
        <v>0.10837276049483199</v>
      </c>
      <c r="K14" t="s">
        <v>14</v>
      </c>
      <c r="L14" s="1" t="s">
        <v>15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  <c r="U14" t="s">
        <v>138</v>
      </c>
      <c r="V14" t="s">
        <v>138</v>
      </c>
      <c r="W14" t="s">
        <v>138</v>
      </c>
      <c r="X14" t="s">
        <v>138</v>
      </c>
      <c r="Y14" t="s">
        <v>138</v>
      </c>
      <c r="Z14" t="s">
        <v>138</v>
      </c>
      <c r="AA14" t="s">
        <v>138</v>
      </c>
      <c r="AB14" t="s">
        <v>138</v>
      </c>
      <c r="AC14" t="s">
        <v>138</v>
      </c>
      <c r="AD14" t="s">
        <v>138</v>
      </c>
      <c r="AE14" t="s">
        <v>138</v>
      </c>
      <c r="AF14" t="s">
        <v>138</v>
      </c>
      <c r="AG14" t="s">
        <v>138</v>
      </c>
      <c r="AH14" t="s">
        <v>138</v>
      </c>
      <c r="AI14" t="s">
        <v>138</v>
      </c>
      <c r="AJ14" t="s">
        <v>138</v>
      </c>
      <c r="AK14" t="s">
        <v>138</v>
      </c>
      <c r="AL14" t="s">
        <v>138</v>
      </c>
      <c r="AM14" t="s">
        <v>138</v>
      </c>
      <c r="AN14" t="s">
        <v>138</v>
      </c>
      <c r="AO14" t="s">
        <v>138</v>
      </c>
      <c r="AP14" t="s">
        <v>138</v>
      </c>
      <c r="AQ14" t="s">
        <v>138</v>
      </c>
      <c r="AR14" t="s">
        <v>138</v>
      </c>
      <c r="AS14" t="s">
        <v>138</v>
      </c>
      <c r="AT14" t="s">
        <v>138</v>
      </c>
      <c r="AU14" t="s">
        <v>138</v>
      </c>
      <c r="AV14" t="s">
        <v>138</v>
      </c>
      <c r="AW14" t="s">
        <v>138</v>
      </c>
      <c r="AX14" t="s">
        <v>138</v>
      </c>
      <c r="AY14" t="s">
        <v>138</v>
      </c>
      <c r="AZ14" t="s">
        <v>138</v>
      </c>
      <c r="BA14" t="s">
        <v>138</v>
      </c>
      <c r="BB14" t="s">
        <v>138</v>
      </c>
      <c r="BC14" t="s">
        <v>138</v>
      </c>
      <c r="BD14" t="s">
        <v>138</v>
      </c>
      <c r="BE14" t="s">
        <v>138</v>
      </c>
      <c r="BF14" t="s">
        <v>138</v>
      </c>
      <c r="BG14" t="s">
        <v>138</v>
      </c>
      <c r="BH14" t="s">
        <v>138</v>
      </c>
      <c r="BI14" t="s">
        <v>138</v>
      </c>
      <c r="BJ14" t="s">
        <v>138</v>
      </c>
      <c r="BK14" t="s">
        <v>138</v>
      </c>
      <c r="BL14" t="s">
        <v>138</v>
      </c>
      <c r="BM14" t="s">
        <v>138</v>
      </c>
      <c r="BN14" t="s">
        <v>138</v>
      </c>
    </row>
    <row r="15" spans="1:66" x14ac:dyDescent="0.25">
      <c r="A15">
        <f>YEAR([1]chla!A15)</f>
        <v>2024</v>
      </c>
      <c r="B15">
        <f>MONTH([1]chla!A15)</f>
        <v>1</v>
      </c>
      <c r="C15">
        <f>DAY([1]chla!A15)</f>
        <v>30</v>
      </c>
      <c r="D15">
        <v>-64.587599999999995</v>
      </c>
      <c r="E15">
        <v>-55.085900000000002</v>
      </c>
      <c r="F15">
        <v>35.856999999999999</v>
      </c>
      <c r="G15">
        <v>0.594325774340972</v>
      </c>
      <c r="H15">
        <v>0.15020370700107599</v>
      </c>
      <c r="I15">
        <v>0.41814359541797003</v>
      </c>
      <c r="J15">
        <v>2.5978471921925601E-2</v>
      </c>
      <c r="K15" t="s">
        <v>14</v>
      </c>
      <c r="L15" s="1" t="s">
        <v>15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  <c r="U15" t="s">
        <v>138</v>
      </c>
      <c r="V15" t="s">
        <v>138</v>
      </c>
      <c r="W15" t="s">
        <v>138</v>
      </c>
      <c r="X15" t="s">
        <v>138</v>
      </c>
      <c r="Y15" t="s">
        <v>138</v>
      </c>
      <c r="Z15" t="s">
        <v>138</v>
      </c>
      <c r="AA15" t="s">
        <v>138</v>
      </c>
      <c r="AB15" t="s">
        <v>138</v>
      </c>
      <c r="AC15" t="s">
        <v>138</v>
      </c>
      <c r="AD15" t="s">
        <v>138</v>
      </c>
      <c r="AE15" t="s">
        <v>138</v>
      </c>
      <c r="AF15" t="s">
        <v>138</v>
      </c>
      <c r="AG15" t="s">
        <v>138</v>
      </c>
      <c r="AH15" t="s">
        <v>138</v>
      </c>
      <c r="AI15" t="s">
        <v>138</v>
      </c>
      <c r="AJ15" t="s">
        <v>138</v>
      </c>
      <c r="AK15" t="s">
        <v>138</v>
      </c>
      <c r="AL15" t="s">
        <v>138</v>
      </c>
      <c r="AM15" t="s">
        <v>138</v>
      </c>
      <c r="AN15" t="s">
        <v>138</v>
      </c>
      <c r="AO15" t="s">
        <v>138</v>
      </c>
      <c r="AP15" t="s">
        <v>138</v>
      </c>
      <c r="AQ15" t="s">
        <v>138</v>
      </c>
      <c r="AR15" t="s">
        <v>138</v>
      </c>
      <c r="AS15" t="s">
        <v>138</v>
      </c>
      <c r="AT15" t="s">
        <v>138</v>
      </c>
      <c r="AU15" t="s">
        <v>138</v>
      </c>
      <c r="AV15" t="s">
        <v>138</v>
      </c>
      <c r="AW15" t="s">
        <v>138</v>
      </c>
      <c r="AX15" t="s">
        <v>138</v>
      </c>
      <c r="AY15" t="s">
        <v>138</v>
      </c>
      <c r="AZ15" t="s">
        <v>138</v>
      </c>
      <c r="BA15" t="s">
        <v>138</v>
      </c>
      <c r="BB15" t="s">
        <v>138</v>
      </c>
      <c r="BC15" t="s">
        <v>138</v>
      </c>
      <c r="BD15" t="s">
        <v>138</v>
      </c>
      <c r="BE15" t="s">
        <v>138</v>
      </c>
      <c r="BF15" t="s">
        <v>138</v>
      </c>
      <c r="BG15" t="s">
        <v>138</v>
      </c>
      <c r="BH15" t="s">
        <v>138</v>
      </c>
      <c r="BI15" t="s">
        <v>138</v>
      </c>
      <c r="BJ15" t="s">
        <v>138</v>
      </c>
      <c r="BK15" t="s">
        <v>138</v>
      </c>
      <c r="BL15" t="s">
        <v>138</v>
      </c>
      <c r="BM15" t="s">
        <v>138</v>
      </c>
      <c r="BN15" t="s">
        <v>138</v>
      </c>
    </row>
    <row r="16" spans="1:66" x14ac:dyDescent="0.25">
      <c r="A16">
        <f>YEAR([1]chla!A16)</f>
        <v>2024</v>
      </c>
      <c r="B16">
        <f>MONTH([1]chla!A16)</f>
        <v>1</v>
      </c>
      <c r="C16">
        <f>DAY([1]chla!A16)</f>
        <v>30</v>
      </c>
      <c r="D16">
        <v>-64.587599999999995</v>
      </c>
      <c r="E16">
        <v>-55.085900000000002</v>
      </c>
      <c r="F16">
        <v>23.741</v>
      </c>
      <c r="G16">
        <v>0.533797662350876</v>
      </c>
      <c r="H16">
        <v>6.1154495120358698E-2</v>
      </c>
      <c r="I16">
        <v>0.442861881989842</v>
      </c>
      <c r="J16">
        <v>2.97812852406752E-2</v>
      </c>
      <c r="K16" t="s">
        <v>14</v>
      </c>
      <c r="L16" s="1" t="s">
        <v>15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  <c r="U16" t="s">
        <v>138</v>
      </c>
      <c r="V16" t="s">
        <v>138</v>
      </c>
      <c r="W16" t="s">
        <v>138</v>
      </c>
      <c r="X16" t="s">
        <v>138</v>
      </c>
      <c r="Y16" t="s">
        <v>138</v>
      </c>
      <c r="Z16" t="s">
        <v>138</v>
      </c>
      <c r="AA16" t="s">
        <v>138</v>
      </c>
      <c r="AB16" t="s">
        <v>138</v>
      </c>
      <c r="AC16" t="s">
        <v>138</v>
      </c>
      <c r="AD16" t="s">
        <v>138</v>
      </c>
      <c r="AE16" t="s">
        <v>138</v>
      </c>
      <c r="AF16" t="s">
        <v>138</v>
      </c>
      <c r="AG16" t="s">
        <v>138</v>
      </c>
      <c r="AH16" t="s">
        <v>138</v>
      </c>
      <c r="AI16" t="s">
        <v>138</v>
      </c>
      <c r="AJ16" t="s">
        <v>138</v>
      </c>
      <c r="AK16" t="s">
        <v>138</v>
      </c>
      <c r="AL16" t="s">
        <v>138</v>
      </c>
      <c r="AM16" t="s">
        <v>138</v>
      </c>
      <c r="AN16" t="s">
        <v>138</v>
      </c>
      <c r="AO16" t="s">
        <v>138</v>
      </c>
      <c r="AP16" t="s">
        <v>138</v>
      </c>
      <c r="AQ16" t="s">
        <v>138</v>
      </c>
      <c r="AR16" t="s">
        <v>138</v>
      </c>
      <c r="AS16" t="s">
        <v>138</v>
      </c>
      <c r="AT16" t="s">
        <v>138</v>
      </c>
      <c r="AU16" t="s">
        <v>138</v>
      </c>
      <c r="AV16" t="s">
        <v>138</v>
      </c>
      <c r="AW16" t="s">
        <v>138</v>
      </c>
      <c r="AX16" t="s">
        <v>138</v>
      </c>
      <c r="AY16" t="s">
        <v>138</v>
      </c>
      <c r="AZ16" t="s">
        <v>138</v>
      </c>
      <c r="BA16" t="s">
        <v>138</v>
      </c>
      <c r="BB16" t="s">
        <v>138</v>
      </c>
      <c r="BC16" t="s">
        <v>138</v>
      </c>
      <c r="BD16" t="s">
        <v>138</v>
      </c>
      <c r="BE16" t="s">
        <v>138</v>
      </c>
      <c r="BF16" t="s">
        <v>138</v>
      </c>
      <c r="BG16" t="s">
        <v>138</v>
      </c>
      <c r="BH16" t="s">
        <v>138</v>
      </c>
      <c r="BI16" t="s">
        <v>138</v>
      </c>
      <c r="BJ16" t="s">
        <v>138</v>
      </c>
      <c r="BK16" t="s">
        <v>138</v>
      </c>
      <c r="BL16" t="s">
        <v>138</v>
      </c>
      <c r="BM16" t="s">
        <v>138</v>
      </c>
      <c r="BN16" t="s">
        <v>138</v>
      </c>
    </row>
    <row r="17" spans="1:66" x14ac:dyDescent="0.25">
      <c r="A17">
        <f>YEAR([1]chla!A17)</f>
        <v>2024</v>
      </c>
      <c r="B17">
        <f>MONTH([1]chla!A17)</f>
        <v>1</v>
      </c>
      <c r="C17">
        <f>DAY([1]chla!A17)</f>
        <v>30</v>
      </c>
      <c r="D17">
        <v>-64.587599999999995</v>
      </c>
      <c r="E17">
        <v>-55.085900000000002</v>
      </c>
      <c r="F17">
        <v>14.949</v>
      </c>
      <c r="G17">
        <v>0.62062856646232301</v>
      </c>
      <c r="H17">
        <v>8.0643913378949994E-2</v>
      </c>
      <c r="I17">
        <v>0.50307309287004298</v>
      </c>
      <c r="J17">
        <v>3.6911560213330502E-2</v>
      </c>
      <c r="K17" t="s">
        <v>14</v>
      </c>
      <c r="L17" s="1" t="s">
        <v>15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  <c r="U17" t="s">
        <v>138</v>
      </c>
      <c r="V17" t="s">
        <v>138</v>
      </c>
      <c r="W17" t="s">
        <v>138</v>
      </c>
      <c r="X17" t="s">
        <v>138</v>
      </c>
      <c r="Y17" t="s">
        <v>138</v>
      </c>
      <c r="Z17" t="s">
        <v>138</v>
      </c>
      <c r="AA17" t="s">
        <v>138</v>
      </c>
      <c r="AB17" t="s">
        <v>138</v>
      </c>
      <c r="AC17" t="s">
        <v>138</v>
      </c>
      <c r="AD17" t="s">
        <v>138</v>
      </c>
      <c r="AE17" t="s">
        <v>138</v>
      </c>
      <c r="AF17" t="s">
        <v>138</v>
      </c>
      <c r="AG17" t="s">
        <v>138</v>
      </c>
      <c r="AH17" t="s">
        <v>138</v>
      </c>
      <c r="AI17" t="s">
        <v>138</v>
      </c>
      <c r="AJ17" t="s">
        <v>138</v>
      </c>
      <c r="AK17" t="s">
        <v>138</v>
      </c>
      <c r="AL17" t="s">
        <v>138</v>
      </c>
      <c r="AM17" t="s">
        <v>138</v>
      </c>
      <c r="AN17" t="s">
        <v>138</v>
      </c>
      <c r="AO17" t="s">
        <v>138</v>
      </c>
      <c r="AP17" t="s">
        <v>138</v>
      </c>
      <c r="AQ17" t="s">
        <v>138</v>
      </c>
      <c r="AR17" t="s">
        <v>138</v>
      </c>
      <c r="AS17" t="s">
        <v>138</v>
      </c>
      <c r="AT17" t="s">
        <v>138</v>
      </c>
      <c r="AU17" t="s">
        <v>138</v>
      </c>
      <c r="AV17" t="s">
        <v>138</v>
      </c>
      <c r="AW17" t="s">
        <v>138</v>
      </c>
      <c r="AX17" t="s">
        <v>138</v>
      </c>
      <c r="AY17" t="s">
        <v>138</v>
      </c>
      <c r="AZ17" t="s">
        <v>138</v>
      </c>
      <c r="BA17" t="s">
        <v>138</v>
      </c>
      <c r="BB17" t="s">
        <v>138</v>
      </c>
      <c r="BC17" t="s">
        <v>138</v>
      </c>
      <c r="BD17" t="s">
        <v>138</v>
      </c>
      <c r="BE17" t="s">
        <v>138</v>
      </c>
      <c r="BF17" t="s">
        <v>138</v>
      </c>
      <c r="BG17" t="s">
        <v>138</v>
      </c>
      <c r="BH17" t="s">
        <v>138</v>
      </c>
      <c r="BI17" t="s">
        <v>138</v>
      </c>
      <c r="BJ17" t="s">
        <v>138</v>
      </c>
      <c r="BK17" t="s">
        <v>138</v>
      </c>
      <c r="BL17" t="s">
        <v>138</v>
      </c>
      <c r="BM17" t="s">
        <v>138</v>
      </c>
      <c r="BN17" t="s">
        <v>138</v>
      </c>
    </row>
    <row r="18" spans="1:66" x14ac:dyDescent="0.25">
      <c r="A18">
        <f>YEAR([1]chla!A18)</f>
        <v>2024</v>
      </c>
      <c r="B18">
        <f>MONTH([1]chla!A18)</f>
        <v>1</v>
      </c>
      <c r="C18">
        <f>DAY([1]chla!A18)</f>
        <v>30</v>
      </c>
      <c r="D18">
        <v>-64.587599999999995</v>
      </c>
      <c r="E18">
        <v>-55.085900000000002</v>
      </c>
      <c r="F18">
        <v>9.6489999999999991</v>
      </c>
      <c r="G18">
        <v>0.45156182433291697</v>
      </c>
      <c r="H18">
        <v>6.7334066763326705E-2</v>
      </c>
      <c r="I18">
        <v>0.36046759341693502</v>
      </c>
      <c r="J18">
        <v>2.3760164152655101E-2</v>
      </c>
      <c r="K18" t="s">
        <v>14</v>
      </c>
      <c r="L18" s="1" t="s">
        <v>15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  <c r="U18" t="s">
        <v>138</v>
      </c>
      <c r="V18" t="s">
        <v>138</v>
      </c>
      <c r="W18" t="s">
        <v>138</v>
      </c>
      <c r="X18" t="s">
        <v>138</v>
      </c>
      <c r="Y18" t="s">
        <v>138</v>
      </c>
      <c r="Z18" t="s">
        <v>138</v>
      </c>
      <c r="AA18" t="s">
        <v>138</v>
      </c>
      <c r="AB18" t="s">
        <v>138</v>
      </c>
      <c r="AC18" t="s">
        <v>138</v>
      </c>
      <c r="AD18" t="s">
        <v>138</v>
      </c>
      <c r="AE18" t="s">
        <v>138</v>
      </c>
      <c r="AF18" t="s">
        <v>138</v>
      </c>
      <c r="AG18" t="s">
        <v>138</v>
      </c>
      <c r="AH18" t="s">
        <v>138</v>
      </c>
      <c r="AI18" t="s">
        <v>138</v>
      </c>
      <c r="AJ18" t="s">
        <v>138</v>
      </c>
      <c r="AK18" t="s">
        <v>138</v>
      </c>
      <c r="AL18" t="s">
        <v>138</v>
      </c>
      <c r="AM18" t="s">
        <v>138</v>
      </c>
      <c r="AN18" t="s">
        <v>138</v>
      </c>
      <c r="AO18" t="s">
        <v>138</v>
      </c>
      <c r="AP18" t="s">
        <v>138</v>
      </c>
      <c r="AQ18" t="s">
        <v>138</v>
      </c>
      <c r="AR18" t="s">
        <v>138</v>
      </c>
      <c r="AS18" t="s">
        <v>138</v>
      </c>
      <c r="AT18" t="s">
        <v>138</v>
      </c>
      <c r="AU18" t="s">
        <v>138</v>
      </c>
      <c r="AV18" t="s">
        <v>138</v>
      </c>
      <c r="AW18" t="s">
        <v>138</v>
      </c>
      <c r="AX18" t="s">
        <v>138</v>
      </c>
      <c r="AY18" t="s">
        <v>138</v>
      </c>
      <c r="AZ18" t="s">
        <v>138</v>
      </c>
      <c r="BA18" t="s">
        <v>138</v>
      </c>
      <c r="BB18" t="s">
        <v>138</v>
      </c>
      <c r="BC18" t="s">
        <v>138</v>
      </c>
      <c r="BD18" t="s">
        <v>138</v>
      </c>
      <c r="BE18" t="s">
        <v>138</v>
      </c>
      <c r="BF18" t="s">
        <v>138</v>
      </c>
      <c r="BG18" t="s">
        <v>138</v>
      </c>
      <c r="BH18" t="s">
        <v>138</v>
      </c>
      <c r="BI18" t="s">
        <v>138</v>
      </c>
      <c r="BJ18" t="s">
        <v>138</v>
      </c>
      <c r="BK18" t="s">
        <v>138</v>
      </c>
      <c r="BL18" t="s">
        <v>138</v>
      </c>
      <c r="BM18" t="s">
        <v>138</v>
      </c>
      <c r="BN18" t="s">
        <v>138</v>
      </c>
    </row>
    <row r="19" spans="1:66" x14ac:dyDescent="0.25">
      <c r="A19">
        <f>YEAR([1]chla!A19)</f>
        <v>2024</v>
      </c>
      <c r="B19">
        <f>MONTH([1]chla!A19)</f>
        <v>1</v>
      </c>
      <c r="C19">
        <f>DAY([1]chla!A19)</f>
        <v>30</v>
      </c>
      <c r="D19">
        <v>-64.587599999999995</v>
      </c>
      <c r="E19">
        <v>-55.085900000000002</v>
      </c>
      <c r="F19">
        <v>2.3109999999999999</v>
      </c>
      <c r="G19">
        <v>0.49529417749853699</v>
      </c>
      <c r="H19">
        <v>6.1788297340150303E-2</v>
      </c>
      <c r="I19">
        <v>0.39881262771432602</v>
      </c>
      <c r="J19">
        <v>3.4693252444059998E-2</v>
      </c>
      <c r="K19" t="s">
        <v>14</v>
      </c>
      <c r="L19" s="1" t="s">
        <v>15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  <c r="U19" t="s">
        <v>138</v>
      </c>
      <c r="V19" t="s">
        <v>138</v>
      </c>
      <c r="W19" t="s">
        <v>138</v>
      </c>
      <c r="X19" t="s">
        <v>138</v>
      </c>
      <c r="Y19" t="s">
        <v>138</v>
      </c>
      <c r="Z19" t="s">
        <v>138</v>
      </c>
      <c r="AA19" t="s">
        <v>138</v>
      </c>
      <c r="AB19" t="s">
        <v>138</v>
      </c>
      <c r="AC19" t="s">
        <v>138</v>
      </c>
      <c r="AD19" t="s">
        <v>138</v>
      </c>
      <c r="AE19" t="s">
        <v>138</v>
      </c>
      <c r="AF19" t="s">
        <v>138</v>
      </c>
      <c r="AG19" t="s">
        <v>138</v>
      </c>
      <c r="AH19" t="s">
        <v>138</v>
      </c>
      <c r="AI19" t="s">
        <v>138</v>
      </c>
      <c r="AJ19" t="s">
        <v>138</v>
      </c>
      <c r="AK19" t="s">
        <v>138</v>
      </c>
      <c r="AL19" t="s">
        <v>138</v>
      </c>
      <c r="AM19" t="s">
        <v>138</v>
      </c>
      <c r="AN19" t="s">
        <v>138</v>
      </c>
      <c r="AO19" t="s">
        <v>138</v>
      </c>
      <c r="AP19" t="s">
        <v>138</v>
      </c>
      <c r="AQ19" t="s">
        <v>138</v>
      </c>
      <c r="AR19" t="s">
        <v>138</v>
      </c>
      <c r="AS19" t="s">
        <v>138</v>
      </c>
      <c r="AT19" t="s">
        <v>138</v>
      </c>
      <c r="AU19" t="s">
        <v>138</v>
      </c>
      <c r="AV19" t="s">
        <v>138</v>
      </c>
      <c r="AW19" t="s">
        <v>138</v>
      </c>
      <c r="AX19" t="s">
        <v>138</v>
      </c>
      <c r="AY19" t="s">
        <v>138</v>
      </c>
      <c r="AZ19" t="s">
        <v>138</v>
      </c>
      <c r="BA19" t="s">
        <v>138</v>
      </c>
      <c r="BB19" t="s">
        <v>138</v>
      </c>
      <c r="BC19" t="s">
        <v>138</v>
      </c>
      <c r="BD19" t="s">
        <v>138</v>
      </c>
      <c r="BE19" t="s">
        <v>138</v>
      </c>
      <c r="BF19" t="s">
        <v>138</v>
      </c>
      <c r="BG19" t="s">
        <v>138</v>
      </c>
      <c r="BH19" t="s">
        <v>138</v>
      </c>
      <c r="BI19" t="s">
        <v>138</v>
      </c>
      <c r="BJ19" t="s">
        <v>138</v>
      </c>
      <c r="BK19">
        <v>3.1034888890493231</v>
      </c>
      <c r="BL19">
        <v>0.2096020477971885</v>
      </c>
      <c r="BM19">
        <v>0.39074099778740901</v>
      </c>
      <c r="BN19">
        <v>0.42960310633552479</v>
      </c>
    </row>
    <row r="20" spans="1:66" x14ac:dyDescent="0.25">
      <c r="A20">
        <f>YEAR([1]chla!A20)</f>
        <v>2024</v>
      </c>
      <c r="B20">
        <f>MONTH([1]chla!A20)</f>
        <v>2</v>
      </c>
      <c r="C20">
        <f>DAY([1]chla!A20)</f>
        <v>1</v>
      </c>
      <c r="D20">
        <v>-66.056380000000004</v>
      </c>
      <c r="E20">
        <v>-60.48706</v>
      </c>
      <c r="F20">
        <v>52.783000000000001</v>
      </c>
      <c r="G20">
        <v>0.54424135407718499</v>
      </c>
      <c r="H20">
        <v>0.22176672711654</v>
      </c>
      <c r="I20">
        <v>0.302578664375934</v>
      </c>
      <c r="J20">
        <v>1.9895962584709301E-2</v>
      </c>
      <c r="K20" t="s">
        <v>16</v>
      </c>
      <c r="L20" t="s">
        <v>17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  <c r="U20" t="s">
        <v>138</v>
      </c>
      <c r="V20" t="s">
        <v>138</v>
      </c>
      <c r="W20" t="s">
        <v>138</v>
      </c>
      <c r="X20" t="s">
        <v>138</v>
      </c>
      <c r="Y20" t="s">
        <v>138</v>
      </c>
      <c r="Z20" t="s">
        <v>138</v>
      </c>
      <c r="AA20" t="s">
        <v>138</v>
      </c>
      <c r="AB20" t="s">
        <v>138</v>
      </c>
      <c r="AC20" t="s">
        <v>138</v>
      </c>
      <c r="AD20" t="s">
        <v>138</v>
      </c>
      <c r="AE20" t="s">
        <v>138</v>
      </c>
      <c r="AF20" t="s">
        <v>138</v>
      </c>
      <c r="AG20" t="s">
        <v>138</v>
      </c>
      <c r="AH20" t="s">
        <v>138</v>
      </c>
      <c r="AI20" t="s">
        <v>138</v>
      </c>
      <c r="AJ20" t="s">
        <v>138</v>
      </c>
      <c r="AK20" t="s">
        <v>138</v>
      </c>
      <c r="AL20" t="s">
        <v>138</v>
      </c>
      <c r="AM20" t="s">
        <v>138</v>
      </c>
      <c r="AN20" t="s">
        <v>138</v>
      </c>
      <c r="AO20" t="s">
        <v>138</v>
      </c>
      <c r="AP20" t="s">
        <v>138</v>
      </c>
      <c r="AQ20" t="s">
        <v>138</v>
      </c>
      <c r="AR20" t="s">
        <v>138</v>
      </c>
      <c r="AS20" t="s">
        <v>138</v>
      </c>
      <c r="AT20" t="s">
        <v>138</v>
      </c>
      <c r="AU20" t="s">
        <v>138</v>
      </c>
      <c r="AV20" t="s">
        <v>138</v>
      </c>
      <c r="AW20" t="s">
        <v>138</v>
      </c>
      <c r="AX20" t="s">
        <v>138</v>
      </c>
      <c r="AY20" t="s">
        <v>138</v>
      </c>
      <c r="AZ20" t="s">
        <v>138</v>
      </c>
      <c r="BA20" t="s">
        <v>138</v>
      </c>
      <c r="BB20" t="s">
        <v>138</v>
      </c>
      <c r="BC20" t="s">
        <v>138</v>
      </c>
      <c r="BD20" t="s">
        <v>138</v>
      </c>
      <c r="BE20" t="s">
        <v>138</v>
      </c>
      <c r="BF20" t="s">
        <v>138</v>
      </c>
      <c r="BG20" t="s">
        <v>138</v>
      </c>
      <c r="BH20" t="s">
        <v>138</v>
      </c>
      <c r="BI20" t="s">
        <v>138</v>
      </c>
      <c r="BJ20" t="s">
        <v>138</v>
      </c>
      <c r="BK20" t="s">
        <v>138</v>
      </c>
      <c r="BL20" t="s">
        <v>138</v>
      </c>
      <c r="BM20" t="s">
        <v>138</v>
      </c>
      <c r="BN20" t="s">
        <v>138</v>
      </c>
    </row>
    <row r="21" spans="1:66" x14ac:dyDescent="0.25">
      <c r="A21">
        <f>YEAR([1]chla!A21)</f>
        <v>2024</v>
      </c>
      <c r="B21">
        <f>MONTH([1]chla!A21)</f>
        <v>2</v>
      </c>
      <c r="C21">
        <f>DAY([1]chla!A21)</f>
        <v>1</v>
      </c>
      <c r="D21">
        <v>-66.056380000000004</v>
      </c>
      <c r="E21">
        <v>-60.48706</v>
      </c>
      <c r="F21">
        <v>27.172999999999998</v>
      </c>
      <c r="G21">
        <v>2.68734847761763</v>
      </c>
      <c r="H21">
        <v>1.75671629919506</v>
      </c>
      <c r="I21">
        <v>0.90882727243803896</v>
      </c>
      <c r="J21">
        <v>2.18049059845375E-2</v>
      </c>
      <c r="K21" t="s">
        <v>16</v>
      </c>
      <c r="L21" t="s">
        <v>17</v>
      </c>
      <c r="M21" t="s">
        <v>195</v>
      </c>
      <c r="N21" t="s">
        <v>17</v>
      </c>
      <c r="O21" s="3">
        <v>45323</v>
      </c>
      <c r="P21" t="s">
        <v>101</v>
      </c>
      <c r="Q21">
        <v>-66.056256733333299</v>
      </c>
      <c r="R21">
        <v>-60.479778216666602</v>
      </c>
      <c r="S21" t="s">
        <v>102</v>
      </c>
      <c r="T21">
        <v>25</v>
      </c>
      <c r="U21">
        <v>890</v>
      </c>
      <c r="V21" s="4" t="s">
        <v>103</v>
      </c>
      <c r="W21">
        <v>0.15867310529585349</v>
      </c>
      <c r="X21">
        <v>0</v>
      </c>
      <c r="Y21">
        <v>0.355179439998487</v>
      </c>
      <c r="Z21">
        <v>1.5756799742018289E-2</v>
      </c>
      <c r="AA21">
        <v>0</v>
      </c>
      <c r="AB21">
        <v>3.0270099963288681E-3</v>
      </c>
      <c r="AC21">
        <v>1.6864435189442251E-2</v>
      </c>
      <c r="AD21">
        <v>7.7423261474118668E-2</v>
      </c>
      <c r="AE21">
        <v>0.95808310904131988</v>
      </c>
      <c r="AF21">
        <v>1.035506370515439</v>
      </c>
      <c r="AG21">
        <v>0.69788254153415086</v>
      </c>
      <c r="AH21">
        <v>0.32058271292376961</v>
      </c>
      <c r="AI21">
        <v>0.65425446480443517</v>
      </c>
      <c r="AJ21">
        <v>2.5162822271795091E-2</v>
      </c>
      <c r="AK21">
        <v>0.3319654415096856</v>
      </c>
      <c r="AL21">
        <v>0.67748466624316173</v>
      </c>
      <c r="AM21">
        <v>2.6056262762591591E-2</v>
      </c>
      <c r="AN21">
        <v>0.75320897955832111</v>
      </c>
      <c r="AO21">
        <v>3.5921818407014611E-2</v>
      </c>
      <c r="AP21">
        <v>0.68810992632940993</v>
      </c>
      <c r="AQ21">
        <v>0.27596825526357571</v>
      </c>
      <c r="AR21">
        <v>3.7197271800962391E-2</v>
      </c>
      <c r="AS21">
        <v>0.71254221232901338</v>
      </c>
      <c r="AT21">
        <v>0.28576688638546338</v>
      </c>
      <c r="AU21">
        <v>0.74810703906150444</v>
      </c>
      <c r="AV21">
        <v>5.8843936963557802E-3</v>
      </c>
      <c r="AW21">
        <v>3.0646804793131231E-2</v>
      </c>
      <c r="AX21">
        <v>0.61398645715740974</v>
      </c>
      <c r="AY21">
        <v>0.35536673804945901</v>
      </c>
      <c r="AZ21">
        <v>3.1734961599230477E-2</v>
      </c>
      <c r="BA21">
        <v>0.63578688779670245</v>
      </c>
      <c r="BB21">
        <v>0.36798452111950603</v>
      </c>
      <c r="BC21">
        <v>0.60736779031298704</v>
      </c>
      <c r="BD21">
        <v>2.3874669965910849E-2</v>
      </c>
      <c r="BE21">
        <v>4.2625159342290143E-2</v>
      </c>
      <c r="BF21">
        <v>0.66885449314533629</v>
      </c>
      <c r="BG21">
        <v>0.28852034751237349</v>
      </c>
      <c r="BH21">
        <v>4.4138624043177123E-2</v>
      </c>
      <c r="BI21">
        <v>0.69260308859987074</v>
      </c>
      <c r="BJ21">
        <v>0.29876465787239109</v>
      </c>
      <c r="BK21" t="s">
        <v>138</v>
      </c>
      <c r="BL21" t="s">
        <v>138</v>
      </c>
      <c r="BM21" t="s">
        <v>138</v>
      </c>
      <c r="BN21" t="s">
        <v>138</v>
      </c>
    </row>
    <row r="22" spans="1:66" x14ac:dyDescent="0.25">
      <c r="A22">
        <f>YEAR([1]chla!A22)</f>
        <v>2024</v>
      </c>
      <c r="B22">
        <f>MONTH([1]chla!A22)</f>
        <v>2</v>
      </c>
      <c r="C22">
        <f>DAY([1]chla!A22)</f>
        <v>1</v>
      </c>
      <c r="D22">
        <v>-66.056380000000004</v>
      </c>
      <c r="E22">
        <v>-60.48706</v>
      </c>
      <c r="F22">
        <v>16.494</v>
      </c>
      <c r="G22">
        <v>2.2059765836276202</v>
      </c>
      <c r="H22">
        <v>1.8914558874995999</v>
      </c>
      <c r="I22">
        <v>0.26424071776271801</v>
      </c>
      <c r="J22">
        <v>5.0279978365308099E-2</v>
      </c>
      <c r="K22" t="s">
        <v>16</v>
      </c>
      <c r="L22" t="s">
        <v>17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  <c r="U22" t="s">
        <v>138</v>
      </c>
      <c r="V22" t="s">
        <v>138</v>
      </c>
      <c r="W22" t="s">
        <v>138</v>
      </c>
      <c r="X22" t="s">
        <v>138</v>
      </c>
      <c r="Y22" t="s">
        <v>138</v>
      </c>
      <c r="Z22" t="s">
        <v>138</v>
      </c>
      <c r="AA22" t="s">
        <v>138</v>
      </c>
      <c r="AB22" t="s">
        <v>138</v>
      </c>
      <c r="AC22" t="s">
        <v>138</v>
      </c>
      <c r="AD22" t="s">
        <v>138</v>
      </c>
      <c r="AE22" t="s">
        <v>138</v>
      </c>
      <c r="AF22" t="s">
        <v>138</v>
      </c>
      <c r="AG22" t="s">
        <v>138</v>
      </c>
      <c r="AH22" t="s">
        <v>138</v>
      </c>
      <c r="AI22" t="s">
        <v>138</v>
      </c>
      <c r="AJ22" t="s">
        <v>138</v>
      </c>
      <c r="AK22" t="s">
        <v>138</v>
      </c>
      <c r="AL22" t="s">
        <v>138</v>
      </c>
      <c r="AM22" t="s">
        <v>138</v>
      </c>
      <c r="AN22" t="s">
        <v>138</v>
      </c>
      <c r="AO22" t="s">
        <v>138</v>
      </c>
      <c r="AP22" t="s">
        <v>138</v>
      </c>
      <c r="AQ22" t="s">
        <v>138</v>
      </c>
      <c r="AR22" t="s">
        <v>138</v>
      </c>
      <c r="AS22" t="s">
        <v>138</v>
      </c>
      <c r="AT22" t="s">
        <v>138</v>
      </c>
      <c r="AU22" t="s">
        <v>138</v>
      </c>
      <c r="AV22" t="s">
        <v>138</v>
      </c>
      <c r="AW22" t="s">
        <v>138</v>
      </c>
      <c r="AX22" t="s">
        <v>138</v>
      </c>
      <c r="AY22" t="s">
        <v>138</v>
      </c>
      <c r="AZ22" t="s">
        <v>138</v>
      </c>
      <c r="BA22" t="s">
        <v>138</v>
      </c>
      <c r="BB22" t="s">
        <v>138</v>
      </c>
      <c r="BC22" t="s">
        <v>138</v>
      </c>
      <c r="BD22" t="s">
        <v>138</v>
      </c>
      <c r="BE22" t="s">
        <v>138</v>
      </c>
      <c r="BF22" t="s">
        <v>138</v>
      </c>
      <c r="BG22" t="s">
        <v>138</v>
      </c>
      <c r="BH22" t="s">
        <v>138</v>
      </c>
      <c r="BI22" t="s">
        <v>138</v>
      </c>
      <c r="BJ22" t="s">
        <v>138</v>
      </c>
      <c r="BK22" t="s">
        <v>138</v>
      </c>
      <c r="BL22" t="s">
        <v>138</v>
      </c>
      <c r="BM22" t="s">
        <v>138</v>
      </c>
      <c r="BN22" t="s">
        <v>138</v>
      </c>
    </row>
    <row r="23" spans="1:66" x14ac:dyDescent="0.25">
      <c r="A23">
        <f>YEAR([1]chla!A23)</f>
        <v>2024</v>
      </c>
      <c r="B23">
        <f>MONTH([1]chla!A23)</f>
        <v>2</v>
      </c>
      <c r="C23">
        <f>DAY([1]chla!A23)</f>
        <v>1</v>
      </c>
      <c r="D23">
        <v>-66.056380000000004</v>
      </c>
      <c r="E23">
        <v>-60.48706</v>
      </c>
      <c r="F23">
        <v>11.093999999999999</v>
      </c>
      <c r="G23">
        <v>2.4835687696859701</v>
      </c>
      <c r="H23">
        <v>1.8278244408386599</v>
      </c>
      <c r="I23">
        <v>0.636961916579173</v>
      </c>
      <c r="J23">
        <v>1.8782412268142899E-2</v>
      </c>
      <c r="K23" t="s">
        <v>16</v>
      </c>
      <c r="L23" t="s">
        <v>17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  <c r="U23" t="s">
        <v>138</v>
      </c>
      <c r="V23" t="s">
        <v>138</v>
      </c>
      <c r="W23" t="s">
        <v>138</v>
      </c>
      <c r="X23" t="s">
        <v>138</v>
      </c>
      <c r="Y23" t="s">
        <v>138</v>
      </c>
      <c r="Z23" t="s">
        <v>138</v>
      </c>
      <c r="AA23" t="s">
        <v>138</v>
      </c>
      <c r="AB23" t="s">
        <v>138</v>
      </c>
      <c r="AC23" t="s">
        <v>138</v>
      </c>
      <c r="AD23" t="s">
        <v>138</v>
      </c>
      <c r="AE23" t="s">
        <v>138</v>
      </c>
      <c r="AF23" t="s">
        <v>138</v>
      </c>
      <c r="AG23" t="s">
        <v>138</v>
      </c>
      <c r="AH23" t="s">
        <v>138</v>
      </c>
      <c r="AI23" t="s">
        <v>138</v>
      </c>
      <c r="AJ23" t="s">
        <v>138</v>
      </c>
      <c r="AK23" t="s">
        <v>138</v>
      </c>
      <c r="AL23" t="s">
        <v>138</v>
      </c>
      <c r="AM23" t="s">
        <v>138</v>
      </c>
      <c r="AN23" t="s">
        <v>138</v>
      </c>
      <c r="AO23" t="s">
        <v>138</v>
      </c>
      <c r="AP23" t="s">
        <v>138</v>
      </c>
      <c r="AQ23" t="s">
        <v>138</v>
      </c>
      <c r="AR23" t="s">
        <v>138</v>
      </c>
      <c r="AS23" t="s">
        <v>138</v>
      </c>
      <c r="AT23" t="s">
        <v>138</v>
      </c>
      <c r="AU23" t="s">
        <v>138</v>
      </c>
      <c r="AV23" t="s">
        <v>138</v>
      </c>
      <c r="AW23" t="s">
        <v>138</v>
      </c>
      <c r="AX23" t="s">
        <v>138</v>
      </c>
      <c r="AY23" t="s">
        <v>138</v>
      </c>
      <c r="AZ23" t="s">
        <v>138</v>
      </c>
      <c r="BA23" t="s">
        <v>138</v>
      </c>
      <c r="BB23" t="s">
        <v>138</v>
      </c>
      <c r="BC23" t="s">
        <v>138</v>
      </c>
      <c r="BD23" t="s">
        <v>138</v>
      </c>
      <c r="BE23" t="s">
        <v>138</v>
      </c>
      <c r="BF23" t="s">
        <v>138</v>
      </c>
      <c r="BG23" t="s">
        <v>138</v>
      </c>
      <c r="BH23" t="s">
        <v>138</v>
      </c>
      <c r="BI23" t="s">
        <v>138</v>
      </c>
      <c r="BJ23" t="s">
        <v>138</v>
      </c>
      <c r="BK23" t="s">
        <v>138</v>
      </c>
      <c r="BL23" t="s">
        <v>138</v>
      </c>
      <c r="BM23" t="s">
        <v>138</v>
      </c>
      <c r="BN23" t="s">
        <v>138</v>
      </c>
    </row>
    <row r="24" spans="1:66" x14ac:dyDescent="0.25">
      <c r="A24">
        <f>YEAR([1]chla!A24)</f>
        <v>2024</v>
      </c>
      <c r="B24">
        <f>MONTH([1]chla!A24)</f>
        <v>2</v>
      </c>
      <c r="C24">
        <f>DAY([1]chla!A24)</f>
        <v>1</v>
      </c>
      <c r="D24">
        <v>-66.056380000000004</v>
      </c>
      <c r="E24">
        <v>-60.48706</v>
      </c>
      <c r="F24">
        <v>6.2359999999999998</v>
      </c>
      <c r="G24">
        <v>1.6030686265152201</v>
      </c>
      <c r="H24">
        <v>1.31209156565174</v>
      </c>
      <c r="I24">
        <v>0.28364830899430499</v>
      </c>
      <c r="J24">
        <v>7.3287518691737396E-3</v>
      </c>
      <c r="K24" t="s">
        <v>16</v>
      </c>
      <c r="L24" t="s">
        <v>17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  <c r="U24" t="s">
        <v>138</v>
      </c>
      <c r="V24" t="s">
        <v>138</v>
      </c>
      <c r="W24" t="s">
        <v>138</v>
      </c>
      <c r="X24" t="s">
        <v>138</v>
      </c>
      <c r="Y24" t="s">
        <v>138</v>
      </c>
      <c r="Z24" t="s">
        <v>138</v>
      </c>
      <c r="AA24" t="s">
        <v>138</v>
      </c>
      <c r="AB24" t="s">
        <v>138</v>
      </c>
      <c r="AC24" t="s">
        <v>138</v>
      </c>
      <c r="AD24" t="s">
        <v>138</v>
      </c>
      <c r="AE24" t="s">
        <v>138</v>
      </c>
      <c r="AF24" t="s">
        <v>138</v>
      </c>
      <c r="AG24" t="s">
        <v>138</v>
      </c>
      <c r="AH24" t="s">
        <v>138</v>
      </c>
      <c r="AI24" t="s">
        <v>138</v>
      </c>
      <c r="AJ24" t="s">
        <v>138</v>
      </c>
      <c r="AK24" t="s">
        <v>138</v>
      </c>
      <c r="AL24" t="s">
        <v>138</v>
      </c>
      <c r="AM24" t="s">
        <v>138</v>
      </c>
      <c r="AN24" t="s">
        <v>138</v>
      </c>
      <c r="AO24" t="s">
        <v>138</v>
      </c>
      <c r="AP24" t="s">
        <v>138</v>
      </c>
      <c r="AQ24" t="s">
        <v>138</v>
      </c>
      <c r="AR24" t="s">
        <v>138</v>
      </c>
      <c r="AS24" t="s">
        <v>138</v>
      </c>
      <c r="AT24" t="s">
        <v>138</v>
      </c>
      <c r="AU24" t="s">
        <v>138</v>
      </c>
      <c r="AV24" t="s">
        <v>138</v>
      </c>
      <c r="AW24" t="s">
        <v>138</v>
      </c>
      <c r="AX24" t="s">
        <v>138</v>
      </c>
      <c r="AY24" t="s">
        <v>138</v>
      </c>
      <c r="AZ24" t="s">
        <v>138</v>
      </c>
      <c r="BA24" t="s">
        <v>138</v>
      </c>
      <c r="BB24" t="s">
        <v>138</v>
      </c>
      <c r="BC24" t="s">
        <v>138</v>
      </c>
      <c r="BD24" t="s">
        <v>138</v>
      </c>
      <c r="BE24" t="s">
        <v>138</v>
      </c>
      <c r="BF24" t="s">
        <v>138</v>
      </c>
      <c r="BG24" t="s">
        <v>138</v>
      </c>
      <c r="BH24" t="s">
        <v>138</v>
      </c>
      <c r="BI24" t="s">
        <v>138</v>
      </c>
      <c r="BJ24" t="s">
        <v>138</v>
      </c>
      <c r="BK24" t="s">
        <v>138</v>
      </c>
      <c r="BL24" t="s">
        <v>138</v>
      </c>
      <c r="BM24" t="s">
        <v>138</v>
      </c>
      <c r="BN24" t="s">
        <v>138</v>
      </c>
    </row>
    <row r="25" spans="1:66" x14ac:dyDescent="0.25">
      <c r="A25">
        <f>YEAR([1]chla!A25)</f>
        <v>2024</v>
      </c>
      <c r="B25">
        <f>MONTH([1]chla!A25)</f>
        <v>2</v>
      </c>
      <c r="C25">
        <f>DAY([1]chla!A25)</f>
        <v>1</v>
      </c>
      <c r="D25">
        <v>-66.056380000000004</v>
      </c>
      <c r="E25">
        <v>-60.48706</v>
      </c>
      <c r="F25">
        <v>2.1080000000000001</v>
      </c>
      <c r="G25">
        <v>1.71124208583882</v>
      </c>
      <c r="H25">
        <v>1.31893194616779</v>
      </c>
      <c r="I25">
        <v>0.38195889408545702</v>
      </c>
      <c r="J25">
        <v>1.0351245585568301E-2</v>
      </c>
      <c r="K25" t="s">
        <v>16</v>
      </c>
      <c r="L25" t="s">
        <v>17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  <c r="U25" t="s">
        <v>138</v>
      </c>
      <c r="V25" t="s">
        <v>138</v>
      </c>
      <c r="W25" t="s">
        <v>138</v>
      </c>
      <c r="X25" t="s">
        <v>138</v>
      </c>
      <c r="Y25" t="s">
        <v>138</v>
      </c>
      <c r="Z25" t="s">
        <v>138</v>
      </c>
      <c r="AA25" t="s">
        <v>138</v>
      </c>
      <c r="AB25" t="s">
        <v>138</v>
      </c>
      <c r="AC25" t="s">
        <v>138</v>
      </c>
      <c r="AD25" t="s">
        <v>138</v>
      </c>
      <c r="AE25" t="s">
        <v>138</v>
      </c>
      <c r="AF25" t="s">
        <v>138</v>
      </c>
      <c r="AG25" t="s">
        <v>138</v>
      </c>
      <c r="AH25" t="s">
        <v>138</v>
      </c>
      <c r="AI25" t="s">
        <v>138</v>
      </c>
      <c r="AJ25" t="s">
        <v>138</v>
      </c>
      <c r="AK25" t="s">
        <v>138</v>
      </c>
      <c r="AL25" t="s">
        <v>138</v>
      </c>
      <c r="AM25" t="s">
        <v>138</v>
      </c>
      <c r="AN25" t="s">
        <v>138</v>
      </c>
      <c r="AO25" t="s">
        <v>138</v>
      </c>
      <c r="AP25" t="s">
        <v>138</v>
      </c>
      <c r="AQ25" t="s">
        <v>138</v>
      </c>
      <c r="AR25" t="s">
        <v>138</v>
      </c>
      <c r="AS25" t="s">
        <v>138</v>
      </c>
      <c r="AT25" t="s">
        <v>138</v>
      </c>
      <c r="AU25" t="s">
        <v>138</v>
      </c>
      <c r="AV25" t="s">
        <v>138</v>
      </c>
      <c r="AW25" t="s">
        <v>138</v>
      </c>
      <c r="AX25" t="s">
        <v>138</v>
      </c>
      <c r="AY25" t="s">
        <v>138</v>
      </c>
      <c r="AZ25" t="s">
        <v>138</v>
      </c>
      <c r="BA25" t="s">
        <v>138</v>
      </c>
      <c r="BB25" t="s">
        <v>138</v>
      </c>
      <c r="BC25" t="s">
        <v>138</v>
      </c>
      <c r="BD25" t="s">
        <v>138</v>
      </c>
      <c r="BE25" t="s">
        <v>138</v>
      </c>
      <c r="BF25" t="s">
        <v>138</v>
      </c>
      <c r="BG25" t="s">
        <v>138</v>
      </c>
      <c r="BH25" t="s">
        <v>138</v>
      </c>
      <c r="BI25" t="s">
        <v>138</v>
      </c>
      <c r="BJ25" t="s">
        <v>138</v>
      </c>
      <c r="BK25" t="s">
        <v>138</v>
      </c>
      <c r="BL25" t="s">
        <v>138</v>
      </c>
      <c r="BM25" t="s">
        <v>138</v>
      </c>
      <c r="BN25" t="s">
        <v>138</v>
      </c>
    </row>
    <row r="26" spans="1:66" x14ac:dyDescent="0.25">
      <c r="A26">
        <f>YEAR([1]chla!A26)</f>
        <v>2024</v>
      </c>
      <c r="B26">
        <f>MONTH([1]chla!A26)</f>
        <v>2</v>
      </c>
      <c r="C26">
        <f>DAY([1]chla!A26)</f>
        <v>2</v>
      </c>
      <c r="D26">
        <v>-66.133780000000002</v>
      </c>
      <c r="E26">
        <v>-59.892240000000001</v>
      </c>
      <c r="F26">
        <v>50.274999999999999</v>
      </c>
      <c r="G26">
        <v>0.68232159333142395</v>
      </c>
      <c r="H26">
        <v>0.30751010149215702</v>
      </c>
      <c r="I26">
        <v>0.33296268015653302</v>
      </c>
      <c r="J26">
        <v>4.1848811682733598E-2</v>
      </c>
      <c r="K26" t="s">
        <v>18</v>
      </c>
      <c r="L26" t="s">
        <v>19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  <c r="U26" t="s">
        <v>138</v>
      </c>
      <c r="V26" t="s">
        <v>138</v>
      </c>
      <c r="W26" t="s">
        <v>138</v>
      </c>
      <c r="X26" t="s">
        <v>138</v>
      </c>
      <c r="Y26" t="s">
        <v>138</v>
      </c>
      <c r="Z26" t="s">
        <v>138</v>
      </c>
      <c r="AA26" t="s">
        <v>138</v>
      </c>
      <c r="AB26" t="s">
        <v>138</v>
      </c>
      <c r="AC26" t="s">
        <v>138</v>
      </c>
      <c r="AD26" t="s">
        <v>138</v>
      </c>
      <c r="AE26" t="s">
        <v>138</v>
      </c>
      <c r="AF26" t="s">
        <v>138</v>
      </c>
      <c r="AG26" t="s">
        <v>138</v>
      </c>
      <c r="AH26" t="s">
        <v>138</v>
      </c>
      <c r="AI26" t="s">
        <v>138</v>
      </c>
      <c r="AJ26" t="s">
        <v>138</v>
      </c>
      <c r="AK26" t="s">
        <v>138</v>
      </c>
      <c r="AL26" t="s">
        <v>138</v>
      </c>
      <c r="AM26" t="s">
        <v>138</v>
      </c>
      <c r="AN26" t="s">
        <v>138</v>
      </c>
      <c r="AO26" t="s">
        <v>138</v>
      </c>
      <c r="AP26" t="s">
        <v>138</v>
      </c>
      <c r="AQ26" t="s">
        <v>138</v>
      </c>
      <c r="AR26" t="s">
        <v>138</v>
      </c>
      <c r="AS26" t="s">
        <v>138</v>
      </c>
      <c r="AT26" t="s">
        <v>138</v>
      </c>
      <c r="AU26" t="s">
        <v>138</v>
      </c>
      <c r="AV26" t="s">
        <v>138</v>
      </c>
      <c r="AW26" t="s">
        <v>138</v>
      </c>
      <c r="AX26" t="s">
        <v>138</v>
      </c>
      <c r="AY26" t="s">
        <v>138</v>
      </c>
      <c r="AZ26" t="s">
        <v>138</v>
      </c>
      <c r="BA26" t="s">
        <v>138</v>
      </c>
      <c r="BB26" t="s">
        <v>138</v>
      </c>
      <c r="BC26" t="s">
        <v>138</v>
      </c>
      <c r="BD26" t="s">
        <v>138</v>
      </c>
      <c r="BE26" t="s">
        <v>138</v>
      </c>
      <c r="BF26" t="s">
        <v>138</v>
      </c>
      <c r="BG26" t="s">
        <v>138</v>
      </c>
      <c r="BH26" t="s">
        <v>138</v>
      </c>
      <c r="BI26" t="s">
        <v>138</v>
      </c>
      <c r="BJ26" t="s">
        <v>138</v>
      </c>
      <c r="BK26" t="s">
        <v>138</v>
      </c>
      <c r="BL26" t="s">
        <v>138</v>
      </c>
      <c r="BM26" t="s">
        <v>138</v>
      </c>
      <c r="BN26" t="s">
        <v>138</v>
      </c>
    </row>
    <row r="27" spans="1:66" x14ac:dyDescent="0.25">
      <c r="A27">
        <f>YEAR([1]chla!A27)</f>
        <v>2024</v>
      </c>
      <c r="B27">
        <f>MONTH([1]chla!A27)</f>
        <v>2</v>
      </c>
      <c r="C27">
        <f>DAY([1]chla!A27)</f>
        <v>2</v>
      </c>
      <c r="D27">
        <v>-66.133780000000002</v>
      </c>
      <c r="E27">
        <v>-59.892240000000001</v>
      </c>
      <c r="F27">
        <v>23.114999999999998</v>
      </c>
      <c r="G27">
        <v>4.7865499029620402</v>
      </c>
      <c r="H27">
        <v>3.9936798065604</v>
      </c>
      <c r="I27">
        <v>0.75865705831821995</v>
      </c>
      <c r="J27">
        <v>3.4213038083420799E-2</v>
      </c>
      <c r="K27" t="s">
        <v>18</v>
      </c>
      <c r="L27" t="s">
        <v>19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  <c r="U27" t="s">
        <v>138</v>
      </c>
      <c r="V27" t="s">
        <v>138</v>
      </c>
      <c r="W27" t="s">
        <v>138</v>
      </c>
      <c r="X27" t="s">
        <v>138</v>
      </c>
      <c r="Y27" t="s">
        <v>138</v>
      </c>
      <c r="Z27" t="s">
        <v>138</v>
      </c>
      <c r="AA27" t="s">
        <v>138</v>
      </c>
      <c r="AB27" t="s">
        <v>138</v>
      </c>
      <c r="AC27" t="s">
        <v>138</v>
      </c>
      <c r="AD27" t="s">
        <v>138</v>
      </c>
      <c r="AE27" t="s">
        <v>138</v>
      </c>
      <c r="AF27" t="s">
        <v>138</v>
      </c>
      <c r="AG27" t="s">
        <v>138</v>
      </c>
      <c r="AH27" t="s">
        <v>138</v>
      </c>
      <c r="AI27" t="s">
        <v>138</v>
      </c>
      <c r="AJ27" t="s">
        <v>138</v>
      </c>
      <c r="AK27" t="s">
        <v>138</v>
      </c>
      <c r="AL27" t="s">
        <v>138</v>
      </c>
      <c r="AM27" t="s">
        <v>138</v>
      </c>
      <c r="AN27" t="s">
        <v>138</v>
      </c>
      <c r="AO27" t="s">
        <v>138</v>
      </c>
      <c r="AP27" t="s">
        <v>138</v>
      </c>
      <c r="AQ27" t="s">
        <v>138</v>
      </c>
      <c r="AR27" t="s">
        <v>138</v>
      </c>
      <c r="AS27" t="s">
        <v>138</v>
      </c>
      <c r="AT27" t="s">
        <v>138</v>
      </c>
      <c r="AU27" t="s">
        <v>138</v>
      </c>
      <c r="AV27" t="s">
        <v>138</v>
      </c>
      <c r="AW27" t="s">
        <v>138</v>
      </c>
      <c r="AX27" t="s">
        <v>138</v>
      </c>
      <c r="AY27" t="s">
        <v>138</v>
      </c>
      <c r="AZ27" t="s">
        <v>138</v>
      </c>
      <c r="BA27" t="s">
        <v>138</v>
      </c>
      <c r="BB27" t="s">
        <v>138</v>
      </c>
      <c r="BC27" t="s">
        <v>138</v>
      </c>
      <c r="BD27" t="s">
        <v>138</v>
      </c>
      <c r="BE27" t="s">
        <v>138</v>
      </c>
      <c r="BF27" t="s">
        <v>138</v>
      </c>
      <c r="BG27" t="s">
        <v>138</v>
      </c>
      <c r="BH27" t="s">
        <v>138</v>
      </c>
      <c r="BI27" t="s">
        <v>138</v>
      </c>
      <c r="BJ27" t="s">
        <v>138</v>
      </c>
      <c r="BK27" t="s">
        <v>138</v>
      </c>
      <c r="BL27" t="s">
        <v>138</v>
      </c>
      <c r="BM27" t="s">
        <v>138</v>
      </c>
      <c r="BN27" t="s">
        <v>138</v>
      </c>
    </row>
    <row r="28" spans="1:66" x14ac:dyDescent="0.25">
      <c r="A28">
        <f>YEAR([1]chla!A28)</f>
        <v>2024</v>
      </c>
      <c r="B28">
        <f>MONTH([1]chla!A28)</f>
        <v>2</v>
      </c>
      <c r="C28">
        <f>DAY([1]chla!A28)</f>
        <v>2</v>
      </c>
      <c r="D28">
        <v>-66.133780000000002</v>
      </c>
      <c r="E28">
        <v>-59.892240000000001</v>
      </c>
      <c r="F28">
        <v>14.994999999999999</v>
      </c>
      <c r="G28">
        <v>3.0072555757055102</v>
      </c>
      <c r="H28">
        <v>2.7172329865419398</v>
      </c>
      <c r="I28">
        <v>0.26917215487894097</v>
      </c>
      <c r="J28">
        <v>2.0850434284623399E-2</v>
      </c>
      <c r="K28" t="s">
        <v>18</v>
      </c>
      <c r="L28" t="s">
        <v>19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  <c r="U28" t="s">
        <v>138</v>
      </c>
      <c r="V28" t="s">
        <v>138</v>
      </c>
      <c r="W28" t="s">
        <v>138</v>
      </c>
      <c r="X28" t="s">
        <v>138</v>
      </c>
      <c r="Y28" t="s">
        <v>138</v>
      </c>
      <c r="Z28" t="s">
        <v>138</v>
      </c>
      <c r="AA28" t="s">
        <v>138</v>
      </c>
      <c r="AB28" t="s">
        <v>138</v>
      </c>
      <c r="AC28" t="s">
        <v>138</v>
      </c>
      <c r="AD28" t="s">
        <v>138</v>
      </c>
      <c r="AE28" t="s">
        <v>138</v>
      </c>
      <c r="AF28" t="s">
        <v>138</v>
      </c>
      <c r="AG28" t="s">
        <v>138</v>
      </c>
      <c r="AH28" t="s">
        <v>138</v>
      </c>
      <c r="AI28" t="s">
        <v>138</v>
      </c>
      <c r="AJ28" t="s">
        <v>138</v>
      </c>
      <c r="AK28" t="s">
        <v>138</v>
      </c>
      <c r="AL28" t="s">
        <v>138</v>
      </c>
      <c r="AM28" t="s">
        <v>138</v>
      </c>
      <c r="AN28" t="s">
        <v>138</v>
      </c>
      <c r="AO28" t="s">
        <v>138</v>
      </c>
      <c r="AP28" t="s">
        <v>138</v>
      </c>
      <c r="AQ28" t="s">
        <v>138</v>
      </c>
      <c r="AR28" t="s">
        <v>138</v>
      </c>
      <c r="AS28" t="s">
        <v>138</v>
      </c>
      <c r="AT28" t="s">
        <v>138</v>
      </c>
      <c r="AU28" t="s">
        <v>138</v>
      </c>
      <c r="AV28" t="s">
        <v>138</v>
      </c>
      <c r="AW28" t="s">
        <v>138</v>
      </c>
      <c r="AX28" t="s">
        <v>138</v>
      </c>
      <c r="AY28" t="s">
        <v>138</v>
      </c>
      <c r="AZ28" t="s">
        <v>138</v>
      </c>
      <c r="BA28" t="s">
        <v>138</v>
      </c>
      <c r="BB28" t="s">
        <v>138</v>
      </c>
      <c r="BC28" t="s">
        <v>138</v>
      </c>
      <c r="BD28" t="s">
        <v>138</v>
      </c>
      <c r="BE28" t="s">
        <v>138</v>
      </c>
      <c r="BF28" t="s">
        <v>138</v>
      </c>
      <c r="BG28" t="s">
        <v>138</v>
      </c>
      <c r="BH28" t="s">
        <v>138</v>
      </c>
      <c r="BI28" t="s">
        <v>138</v>
      </c>
      <c r="BJ28" t="s">
        <v>138</v>
      </c>
      <c r="BK28" t="s">
        <v>138</v>
      </c>
      <c r="BL28" t="s">
        <v>138</v>
      </c>
      <c r="BM28" t="s">
        <v>138</v>
      </c>
      <c r="BN28" t="s">
        <v>138</v>
      </c>
    </row>
    <row r="29" spans="1:66" x14ac:dyDescent="0.25">
      <c r="A29">
        <f>YEAR([1]chla!A29)</f>
        <v>2024</v>
      </c>
      <c r="B29">
        <f>MONTH([1]chla!A29)</f>
        <v>2</v>
      </c>
      <c r="C29">
        <f>DAY([1]chla!A29)</f>
        <v>2</v>
      </c>
      <c r="D29">
        <v>-66.133780000000002</v>
      </c>
      <c r="E29">
        <v>-59.892240000000001</v>
      </c>
      <c r="F29">
        <v>10.382999999999999</v>
      </c>
      <c r="G29">
        <v>3.0266631669370998</v>
      </c>
      <c r="H29">
        <v>2.51758932264325</v>
      </c>
      <c r="I29">
        <v>0.48138302949317502</v>
      </c>
      <c r="J29">
        <v>2.7690814800674399E-2</v>
      </c>
      <c r="K29" t="s">
        <v>18</v>
      </c>
      <c r="L29" t="s">
        <v>19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  <c r="U29" t="s">
        <v>138</v>
      </c>
      <c r="V29" t="s">
        <v>138</v>
      </c>
      <c r="W29" t="s">
        <v>138</v>
      </c>
      <c r="X29" t="s">
        <v>138</v>
      </c>
      <c r="Y29" t="s">
        <v>138</v>
      </c>
      <c r="Z29" t="s">
        <v>138</v>
      </c>
      <c r="AA29" t="s">
        <v>138</v>
      </c>
      <c r="AB29" t="s">
        <v>138</v>
      </c>
      <c r="AC29" t="s">
        <v>138</v>
      </c>
      <c r="AD29" t="s">
        <v>138</v>
      </c>
      <c r="AE29" t="s">
        <v>138</v>
      </c>
      <c r="AF29" t="s">
        <v>138</v>
      </c>
      <c r="AG29" t="s">
        <v>138</v>
      </c>
      <c r="AH29" t="s">
        <v>138</v>
      </c>
      <c r="AI29" t="s">
        <v>138</v>
      </c>
      <c r="AJ29" t="s">
        <v>138</v>
      </c>
      <c r="AK29" t="s">
        <v>138</v>
      </c>
      <c r="AL29" t="s">
        <v>138</v>
      </c>
      <c r="AM29" t="s">
        <v>138</v>
      </c>
      <c r="AN29" t="s">
        <v>138</v>
      </c>
      <c r="AO29" t="s">
        <v>138</v>
      </c>
      <c r="AP29" t="s">
        <v>138</v>
      </c>
      <c r="AQ29" t="s">
        <v>138</v>
      </c>
      <c r="AR29" t="s">
        <v>138</v>
      </c>
      <c r="AS29" t="s">
        <v>138</v>
      </c>
      <c r="AT29" t="s">
        <v>138</v>
      </c>
      <c r="AU29" t="s">
        <v>138</v>
      </c>
      <c r="AV29" t="s">
        <v>138</v>
      </c>
      <c r="AW29" t="s">
        <v>138</v>
      </c>
      <c r="AX29" t="s">
        <v>138</v>
      </c>
      <c r="AY29" t="s">
        <v>138</v>
      </c>
      <c r="AZ29" t="s">
        <v>138</v>
      </c>
      <c r="BA29" t="s">
        <v>138</v>
      </c>
      <c r="BB29" t="s">
        <v>138</v>
      </c>
      <c r="BC29" t="s">
        <v>138</v>
      </c>
      <c r="BD29" t="s">
        <v>138</v>
      </c>
      <c r="BE29" t="s">
        <v>138</v>
      </c>
      <c r="BF29" t="s">
        <v>138</v>
      </c>
      <c r="BG29" t="s">
        <v>138</v>
      </c>
      <c r="BH29" t="s">
        <v>138</v>
      </c>
      <c r="BI29" t="s">
        <v>138</v>
      </c>
      <c r="BJ29" t="s">
        <v>138</v>
      </c>
      <c r="BK29" t="s">
        <v>138</v>
      </c>
      <c r="BL29" t="s">
        <v>138</v>
      </c>
      <c r="BM29" t="s">
        <v>138</v>
      </c>
      <c r="BN29" t="s">
        <v>138</v>
      </c>
    </row>
    <row r="30" spans="1:66" x14ac:dyDescent="0.25">
      <c r="A30">
        <f>YEAR([1]chla!A30)</f>
        <v>2024</v>
      </c>
      <c r="B30">
        <f>MONTH([1]chla!A30)</f>
        <v>2</v>
      </c>
      <c r="C30">
        <f>DAY([1]chla!A30)</f>
        <v>2</v>
      </c>
      <c r="D30">
        <v>-66.133780000000002</v>
      </c>
      <c r="E30">
        <v>-59.892240000000001</v>
      </c>
      <c r="F30">
        <v>5.2629999999999999</v>
      </c>
      <c r="G30">
        <v>1.72842257643727</v>
      </c>
      <c r="H30">
        <v>1.4711701823040899</v>
      </c>
      <c r="I30">
        <v>0.241492475581432</v>
      </c>
      <c r="J30">
        <v>1.57599185517482E-2</v>
      </c>
      <c r="K30" t="s">
        <v>18</v>
      </c>
      <c r="L30" t="s">
        <v>19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  <c r="U30" t="s">
        <v>138</v>
      </c>
      <c r="V30" t="s">
        <v>138</v>
      </c>
      <c r="W30" t="s">
        <v>138</v>
      </c>
      <c r="X30" t="s">
        <v>138</v>
      </c>
      <c r="Y30" t="s">
        <v>138</v>
      </c>
      <c r="Z30" t="s">
        <v>138</v>
      </c>
      <c r="AA30" t="s">
        <v>138</v>
      </c>
      <c r="AB30" t="s">
        <v>138</v>
      </c>
      <c r="AC30" t="s">
        <v>138</v>
      </c>
      <c r="AD30" t="s">
        <v>138</v>
      </c>
      <c r="AE30" t="s">
        <v>138</v>
      </c>
      <c r="AF30" t="s">
        <v>138</v>
      </c>
      <c r="AG30" t="s">
        <v>138</v>
      </c>
      <c r="AH30" t="s">
        <v>138</v>
      </c>
      <c r="AI30" t="s">
        <v>138</v>
      </c>
      <c r="AJ30" t="s">
        <v>138</v>
      </c>
      <c r="AK30" t="s">
        <v>138</v>
      </c>
      <c r="AL30" t="s">
        <v>138</v>
      </c>
      <c r="AM30" t="s">
        <v>138</v>
      </c>
      <c r="AN30" t="s">
        <v>138</v>
      </c>
      <c r="AO30" t="s">
        <v>138</v>
      </c>
      <c r="AP30" t="s">
        <v>138</v>
      </c>
      <c r="AQ30" t="s">
        <v>138</v>
      </c>
      <c r="AR30" t="s">
        <v>138</v>
      </c>
      <c r="AS30" t="s">
        <v>138</v>
      </c>
      <c r="AT30" t="s">
        <v>138</v>
      </c>
      <c r="AU30" t="s">
        <v>138</v>
      </c>
      <c r="AV30" t="s">
        <v>138</v>
      </c>
      <c r="AW30" t="s">
        <v>138</v>
      </c>
      <c r="AX30" t="s">
        <v>138</v>
      </c>
      <c r="AY30" t="s">
        <v>138</v>
      </c>
      <c r="AZ30" t="s">
        <v>138</v>
      </c>
      <c r="BA30" t="s">
        <v>138</v>
      </c>
      <c r="BB30" t="s">
        <v>138</v>
      </c>
      <c r="BC30" t="s">
        <v>138</v>
      </c>
      <c r="BD30" t="s">
        <v>138</v>
      </c>
      <c r="BE30" t="s">
        <v>138</v>
      </c>
      <c r="BF30" t="s">
        <v>138</v>
      </c>
      <c r="BG30" t="s">
        <v>138</v>
      </c>
      <c r="BH30" t="s">
        <v>138</v>
      </c>
      <c r="BI30" t="s">
        <v>138</v>
      </c>
      <c r="BJ30" t="s">
        <v>138</v>
      </c>
      <c r="BK30" t="s">
        <v>138</v>
      </c>
      <c r="BL30" t="s">
        <v>138</v>
      </c>
      <c r="BM30" t="s">
        <v>138</v>
      </c>
      <c r="BN30" t="s">
        <v>138</v>
      </c>
    </row>
    <row r="31" spans="1:66" x14ac:dyDescent="0.25">
      <c r="A31">
        <f>YEAR([1]chla!A31)</f>
        <v>2024</v>
      </c>
      <c r="B31">
        <f>MONTH([1]chla!A31)</f>
        <v>2</v>
      </c>
      <c r="C31">
        <f>DAY([1]chla!A31)</f>
        <v>2</v>
      </c>
      <c r="D31">
        <v>-66.133780000000002</v>
      </c>
      <c r="E31">
        <v>-59.892240000000001</v>
      </c>
      <c r="F31">
        <v>1.841</v>
      </c>
      <c r="G31">
        <v>1.7580111991346099</v>
      </c>
      <c r="H31">
        <v>1.5492777830803901</v>
      </c>
      <c r="I31">
        <v>0.19870032770195001</v>
      </c>
      <c r="J31">
        <v>1.0033088352263599E-2</v>
      </c>
      <c r="K31" t="s">
        <v>18</v>
      </c>
      <c r="L31" t="s">
        <v>19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  <c r="U31" t="s">
        <v>138</v>
      </c>
      <c r="V31" t="s">
        <v>138</v>
      </c>
      <c r="W31" t="s">
        <v>138</v>
      </c>
      <c r="X31" t="s">
        <v>138</v>
      </c>
      <c r="Y31" t="s">
        <v>138</v>
      </c>
      <c r="Z31" t="s">
        <v>138</v>
      </c>
      <c r="AA31" t="s">
        <v>138</v>
      </c>
      <c r="AB31" t="s">
        <v>138</v>
      </c>
      <c r="AC31" t="s">
        <v>138</v>
      </c>
      <c r="AD31" t="s">
        <v>138</v>
      </c>
      <c r="AE31" t="s">
        <v>138</v>
      </c>
      <c r="AF31" t="s">
        <v>138</v>
      </c>
      <c r="AG31" t="s">
        <v>138</v>
      </c>
      <c r="AH31" t="s">
        <v>138</v>
      </c>
      <c r="AI31" t="s">
        <v>138</v>
      </c>
      <c r="AJ31" t="s">
        <v>138</v>
      </c>
      <c r="AK31" t="s">
        <v>138</v>
      </c>
      <c r="AL31" t="s">
        <v>138</v>
      </c>
      <c r="AM31" t="s">
        <v>138</v>
      </c>
      <c r="AN31" t="s">
        <v>138</v>
      </c>
      <c r="AO31" t="s">
        <v>138</v>
      </c>
      <c r="AP31" t="s">
        <v>138</v>
      </c>
      <c r="AQ31" t="s">
        <v>138</v>
      </c>
      <c r="AR31" t="s">
        <v>138</v>
      </c>
      <c r="AS31" t="s">
        <v>138</v>
      </c>
      <c r="AT31" t="s">
        <v>138</v>
      </c>
      <c r="AU31" t="s">
        <v>138</v>
      </c>
      <c r="AV31" t="s">
        <v>138</v>
      </c>
      <c r="AW31" t="s">
        <v>138</v>
      </c>
      <c r="AX31" t="s">
        <v>138</v>
      </c>
      <c r="AY31" t="s">
        <v>138</v>
      </c>
      <c r="AZ31" t="s">
        <v>138</v>
      </c>
      <c r="BA31" t="s">
        <v>138</v>
      </c>
      <c r="BB31" t="s">
        <v>138</v>
      </c>
      <c r="BC31" t="s">
        <v>138</v>
      </c>
      <c r="BD31" t="s">
        <v>138</v>
      </c>
      <c r="BE31" t="s">
        <v>138</v>
      </c>
      <c r="BF31" t="s">
        <v>138</v>
      </c>
      <c r="BG31" t="s">
        <v>138</v>
      </c>
      <c r="BH31" t="s">
        <v>138</v>
      </c>
      <c r="BI31" t="s">
        <v>138</v>
      </c>
      <c r="BJ31" t="s">
        <v>138</v>
      </c>
      <c r="BK31" t="s">
        <v>138</v>
      </c>
      <c r="BL31" t="s">
        <v>138</v>
      </c>
      <c r="BM31" t="s">
        <v>138</v>
      </c>
      <c r="BN31" t="s">
        <v>138</v>
      </c>
    </row>
    <row r="32" spans="1:66" x14ac:dyDescent="0.25">
      <c r="A32">
        <f>YEAR([1]chla!A32)</f>
        <v>2024</v>
      </c>
      <c r="B32">
        <f>MONTH([1]chla!A32)</f>
        <v>2</v>
      </c>
      <c r="C32">
        <f>DAY([1]chla!A32)</f>
        <v>3</v>
      </c>
      <c r="D32">
        <v>-65.627089999999995</v>
      </c>
      <c r="E32">
        <v>-59.291069999999998</v>
      </c>
      <c r="F32">
        <v>90.637</v>
      </c>
      <c r="G32">
        <v>5.4279214787948199E-2</v>
      </c>
      <c r="H32">
        <v>5.8970443193025997E-3</v>
      </c>
      <c r="I32">
        <v>3.9939868282905397E-2</v>
      </c>
      <c r="J32">
        <v>8.4423021857401893E-3</v>
      </c>
      <c r="K32" t="s">
        <v>20</v>
      </c>
      <c r="L32" t="s">
        <v>20</v>
      </c>
      <c r="M32" t="s">
        <v>195</v>
      </c>
      <c r="N32" t="s">
        <v>20</v>
      </c>
      <c r="O32" s="3">
        <v>45325</v>
      </c>
      <c r="P32" t="s">
        <v>104</v>
      </c>
      <c r="Q32">
        <v>-65.626435333333305</v>
      </c>
      <c r="R32">
        <v>-59.297000466666603</v>
      </c>
      <c r="S32" t="s">
        <v>105</v>
      </c>
      <c r="T32">
        <v>75</v>
      </c>
      <c r="U32">
        <v>1000</v>
      </c>
      <c r="V32" s="4" t="s">
        <v>103</v>
      </c>
      <c r="W32">
        <v>8.2246312043154513E-3</v>
      </c>
      <c r="X32">
        <v>1.599794373980831E-3</v>
      </c>
      <c r="Y32">
        <v>3.615015994043138E-2</v>
      </c>
      <c r="Z32">
        <v>8.0905975056045701E-3</v>
      </c>
      <c r="AA32">
        <v>0</v>
      </c>
      <c r="AB32">
        <v>2.4070135632856772E-3</v>
      </c>
      <c r="AC32">
        <v>1.8565195504988349E-3</v>
      </c>
      <c r="AD32">
        <v>9.5623878671717358E-3</v>
      </c>
      <c r="AE32">
        <v>6.0731327093581429E-2</v>
      </c>
      <c r="AF32">
        <v>7.0293714960753165E-2</v>
      </c>
      <c r="AG32">
        <v>6.6622542829054734E-2</v>
      </c>
      <c r="AH32">
        <v>0.20792421719689411</v>
      </c>
      <c r="AI32">
        <v>0.73162041227361296</v>
      </c>
      <c r="AJ32">
        <v>6.0455370529493173E-2</v>
      </c>
      <c r="AK32">
        <v>1.461576565707621E-2</v>
      </c>
      <c r="AL32">
        <v>5.1428316719830072E-2</v>
      </c>
      <c r="AM32">
        <v>4.2496325838469098E-3</v>
      </c>
      <c r="AN32">
        <v>6.0195403943383241E-2</v>
      </c>
      <c r="AO32">
        <v>6.5672889166433435E-2</v>
      </c>
      <c r="AP32">
        <v>0.74656860635210831</v>
      </c>
      <c r="AQ32">
        <v>0.18775850448145831</v>
      </c>
      <c r="AR32">
        <v>4.6163913517144059E-3</v>
      </c>
      <c r="AS32">
        <v>5.2479080813561833E-2</v>
      </c>
      <c r="AT32">
        <v>1.3198242795476919E-2</v>
      </c>
      <c r="AU32">
        <v>7.2233837173344473E-2</v>
      </c>
      <c r="AV32">
        <v>1.3374318481634911E-3</v>
      </c>
      <c r="AW32">
        <v>0.16133661395339449</v>
      </c>
      <c r="AX32">
        <v>0.639097436177964</v>
      </c>
      <c r="AY32">
        <v>0.19956594986864151</v>
      </c>
      <c r="AZ32">
        <v>1.134094995397298E-2</v>
      </c>
      <c r="BA32">
        <v>4.4924533010841941E-2</v>
      </c>
      <c r="BB32">
        <v>1.402823199593824E-2</v>
      </c>
      <c r="BC32">
        <v>6.1221949723321123E-2</v>
      </c>
      <c r="BD32">
        <v>8.2246312043154513E-3</v>
      </c>
      <c r="BE32">
        <v>0.16400051167154289</v>
      </c>
      <c r="BF32">
        <v>0.81222022473260991</v>
      </c>
      <c r="BG32">
        <v>2.3779263595847189E-2</v>
      </c>
      <c r="BH32">
        <v>1.152820522085711E-2</v>
      </c>
      <c r="BI32">
        <v>5.7093976962712963E-2</v>
      </c>
      <c r="BJ32">
        <v>1.6715327771830971E-3</v>
      </c>
      <c r="BK32" t="s">
        <v>138</v>
      </c>
      <c r="BL32" t="s">
        <v>138</v>
      </c>
      <c r="BM32" t="s">
        <v>138</v>
      </c>
      <c r="BN32" t="s">
        <v>138</v>
      </c>
    </row>
    <row r="33" spans="1:66" x14ac:dyDescent="0.25">
      <c r="A33">
        <f>YEAR([1]chla!A33)</f>
        <v>2024</v>
      </c>
      <c r="B33">
        <f>MONTH([1]chla!A33)</f>
        <v>2</v>
      </c>
      <c r="C33">
        <f>DAY([1]chla!A33)</f>
        <v>3</v>
      </c>
      <c r="D33">
        <v>-65.627089999999995</v>
      </c>
      <c r="E33">
        <v>-59.291069999999998</v>
      </c>
      <c r="F33">
        <v>59.292000000000002</v>
      </c>
      <c r="G33">
        <v>0.24390092583754799</v>
      </c>
      <c r="H33">
        <v>1.1623874518787099E-2</v>
      </c>
      <c r="I33">
        <v>0.20474531513473901</v>
      </c>
      <c r="J33">
        <v>2.7531736184022101E-2</v>
      </c>
      <c r="K33" t="s">
        <v>20</v>
      </c>
      <c r="L33" t="s">
        <v>20</v>
      </c>
      <c r="M33" t="s">
        <v>195</v>
      </c>
      <c r="N33" t="s">
        <v>20</v>
      </c>
      <c r="O33" s="3">
        <v>45325</v>
      </c>
      <c r="P33" t="s">
        <v>104</v>
      </c>
      <c r="Q33">
        <v>-65.626435333333305</v>
      </c>
      <c r="R33">
        <v>-59.297000466666603</v>
      </c>
      <c r="S33" t="s">
        <v>106</v>
      </c>
      <c r="T33">
        <v>50</v>
      </c>
      <c r="U33">
        <v>1000</v>
      </c>
      <c r="V33" s="4" t="s">
        <v>103</v>
      </c>
      <c r="W33">
        <v>1.9404475140892819E-2</v>
      </c>
      <c r="X33">
        <v>0</v>
      </c>
      <c r="Y33">
        <v>0.19693998946167679</v>
      </c>
      <c r="Z33">
        <v>2.9125973189813189E-2</v>
      </c>
      <c r="AA33">
        <v>0</v>
      </c>
      <c r="AB33">
        <v>1.0779421567312771E-2</v>
      </c>
      <c r="AC33">
        <v>6.6405871095209287E-3</v>
      </c>
      <c r="AD33">
        <v>2.9113470512954841E-2</v>
      </c>
      <c r="AE33">
        <v>0.28006918596200331</v>
      </c>
      <c r="AF33">
        <v>0.30918265647495807</v>
      </c>
      <c r="AG33">
        <v>0.30426630787859699</v>
      </c>
      <c r="AH33">
        <v>8.992224653271734E-2</v>
      </c>
      <c r="AI33">
        <v>0.85552645985577758</v>
      </c>
      <c r="AJ33">
        <v>5.4551293611504917E-2</v>
      </c>
      <c r="AK33">
        <v>2.780239905918163E-2</v>
      </c>
      <c r="AL33">
        <v>0.26451394354282592</v>
      </c>
      <c r="AM33">
        <v>1.6866313872950501E-2</v>
      </c>
      <c r="AN33">
        <v>0.24240386438054379</v>
      </c>
      <c r="AO33">
        <v>6.2540341845827477E-2</v>
      </c>
      <c r="AP33">
        <v>0.83259391065658483</v>
      </c>
      <c r="AQ33">
        <v>0.1048657474975877</v>
      </c>
      <c r="AR33">
        <v>1.9336389028744919E-2</v>
      </c>
      <c r="AS33">
        <v>0.25742359706167678</v>
      </c>
      <c r="AT33">
        <v>3.2422670384536341E-2</v>
      </c>
      <c r="AU33">
        <v>0.32008223991574852</v>
      </c>
      <c r="AV33">
        <v>9.9955990911001595E-3</v>
      </c>
      <c r="AW33">
        <v>8.1521489572763589E-2</v>
      </c>
      <c r="AX33">
        <v>0.86733089183100165</v>
      </c>
      <c r="AY33">
        <v>5.114761859623481E-2</v>
      </c>
      <c r="AZ33">
        <v>2.5205030705902642E-2</v>
      </c>
      <c r="BA33">
        <v>0.26816366917910361</v>
      </c>
      <c r="BB33">
        <v>1.5813956589951841E-2</v>
      </c>
      <c r="BC33">
        <v>0.27274171044527468</v>
      </c>
      <c r="BD33">
        <v>1.9404475140892819E-2</v>
      </c>
      <c r="BE33">
        <v>8.342620370903063E-2</v>
      </c>
      <c r="BF33">
        <v>0.91657379629096936</v>
      </c>
      <c r="BG33">
        <v>0</v>
      </c>
      <c r="BH33">
        <v>2.5793935282379089E-2</v>
      </c>
      <c r="BI33">
        <v>0.28338872119257902</v>
      </c>
      <c r="BJ33">
        <v>0</v>
      </c>
      <c r="BK33" t="s">
        <v>138</v>
      </c>
      <c r="BL33" t="s">
        <v>138</v>
      </c>
      <c r="BM33" t="s">
        <v>138</v>
      </c>
      <c r="BN33" t="s">
        <v>138</v>
      </c>
    </row>
    <row r="34" spans="1:66" x14ac:dyDescent="0.25">
      <c r="A34">
        <f>YEAR([1]chla!A34)</f>
        <v>2024</v>
      </c>
      <c r="B34">
        <f>MONTH([1]chla!A34)</f>
        <v>2</v>
      </c>
      <c r="C34">
        <f>DAY([1]chla!A34)</f>
        <v>3</v>
      </c>
      <c r="D34">
        <v>-65.627089999999995</v>
      </c>
      <c r="E34">
        <v>-59.291069999999998</v>
      </c>
      <c r="F34">
        <v>40.04</v>
      </c>
      <c r="G34">
        <v>0.35891476567719699</v>
      </c>
      <c r="H34">
        <v>2.6259107250803299E-2</v>
      </c>
      <c r="I34">
        <v>0.24896917056409201</v>
      </c>
      <c r="J34">
        <v>8.3686487862301498E-2</v>
      </c>
      <c r="K34" t="s">
        <v>20</v>
      </c>
      <c r="L34" t="s">
        <v>20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  <c r="U34" t="s">
        <v>138</v>
      </c>
      <c r="V34" t="s">
        <v>138</v>
      </c>
      <c r="W34" t="s">
        <v>138</v>
      </c>
      <c r="X34" t="s">
        <v>138</v>
      </c>
      <c r="Y34" t="s">
        <v>138</v>
      </c>
      <c r="Z34" t="s">
        <v>138</v>
      </c>
      <c r="AA34" t="s">
        <v>138</v>
      </c>
      <c r="AB34" t="s">
        <v>138</v>
      </c>
      <c r="AC34" t="s">
        <v>138</v>
      </c>
      <c r="AD34" t="s">
        <v>138</v>
      </c>
      <c r="AE34" t="s">
        <v>138</v>
      </c>
      <c r="AF34" t="s">
        <v>138</v>
      </c>
      <c r="AG34" t="s">
        <v>138</v>
      </c>
      <c r="AH34" t="s">
        <v>138</v>
      </c>
      <c r="AI34" t="s">
        <v>138</v>
      </c>
      <c r="AJ34" t="s">
        <v>138</v>
      </c>
      <c r="AK34" t="s">
        <v>138</v>
      </c>
      <c r="AL34" t="s">
        <v>138</v>
      </c>
      <c r="AM34" t="s">
        <v>138</v>
      </c>
      <c r="AN34" t="s">
        <v>138</v>
      </c>
      <c r="AO34" t="s">
        <v>138</v>
      </c>
      <c r="AP34" t="s">
        <v>138</v>
      </c>
      <c r="AQ34" t="s">
        <v>138</v>
      </c>
      <c r="AR34" t="s">
        <v>138</v>
      </c>
      <c r="AS34" t="s">
        <v>138</v>
      </c>
      <c r="AT34" t="s">
        <v>138</v>
      </c>
      <c r="AU34" t="s">
        <v>138</v>
      </c>
      <c r="AV34" t="s">
        <v>138</v>
      </c>
      <c r="AW34" t="s">
        <v>138</v>
      </c>
      <c r="AX34" t="s">
        <v>138</v>
      </c>
      <c r="AY34" t="s">
        <v>138</v>
      </c>
      <c r="AZ34" t="s">
        <v>138</v>
      </c>
      <c r="BA34" t="s">
        <v>138</v>
      </c>
      <c r="BB34" t="s">
        <v>138</v>
      </c>
      <c r="BC34" t="s">
        <v>138</v>
      </c>
      <c r="BD34" t="s">
        <v>138</v>
      </c>
      <c r="BE34" t="s">
        <v>138</v>
      </c>
      <c r="BF34" t="s">
        <v>138</v>
      </c>
      <c r="BG34" t="s">
        <v>138</v>
      </c>
      <c r="BH34" t="s">
        <v>138</v>
      </c>
      <c r="BI34" t="s">
        <v>138</v>
      </c>
      <c r="BJ34" t="s">
        <v>138</v>
      </c>
      <c r="BK34" t="s">
        <v>138</v>
      </c>
      <c r="BL34" t="s">
        <v>138</v>
      </c>
      <c r="BM34" t="s">
        <v>138</v>
      </c>
      <c r="BN34" t="s">
        <v>138</v>
      </c>
    </row>
    <row r="35" spans="1:66" x14ac:dyDescent="0.25">
      <c r="A35">
        <f>YEAR([1]chla!A35)</f>
        <v>2024</v>
      </c>
      <c r="B35">
        <f>MONTH([1]chla!A35)</f>
        <v>2</v>
      </c>
      <c r="C35">
        <f>DAY([1]chla!A35)</f>
        <v>3</v>
      </c>
      <c r="D35">
        <v>-65.627089999999995</v>
      </c>
      <c r="E35">
        <v>-59.291069999999998</v>
      </c>
      <c r="F35">
        <v>25.922999999999998</v>
      </c>
      <c r="G35">
        <v>0.312304730998059</v>
      </c>
      <c r="H35">
        <v>3.1985937450287903E-2</v>
      </c>
      <c r="I35">
        <v>0.22733447869937301</v>
      </c>
      <c r="J35">
        <v>5.2984314848398002E-2</v>
      </c>
      <c r="K35" t="s">
        <v>20</v>
      </c>
      <c r="L35" t="s">
        <v>20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  <c r="U35" t="s">
        <v>138</v>
      </c>
      <c r="V35" t="s">
        <v>138</v>
      </c>
      <c r="W35" t="s">
        <v>138</v>
      </c>
      <c r="X35" t="s">
        <v>138</v>
      </c>
      <c r="Y35" t="s">
        <v>138</v>
      </c>
      <c r="Z35" t="s">
        <v>138</v>
      </c>
      <c r="AA35" t="s">
        <v>138</v>
      </c>
      <c r="AB35" t="s">
        <v>138</v>
      </c>
      <c r="AC35" t="s">
        <v>138</v>
      </c>
      <c r="AD35" t="s">
        <v>138</v>
      </c>
      <c r="AE35" t="s">
        <v>138</v>
      </c>
      <c r="AF35" t="s">
        <v>138</v>
      </c>
      <c r="AG35" t="s">
        <v>138</v>
      </c>
      <c r="AH35" t="s">
        <v>138</v>
      </c>
      <c r="AI35" t="s">
        <v>138</v>
      </c>
      <c r="AJ35" t="s">
        <v>138</v>
      </c>
      <c r="AK35" t="s">
        <v>138</v>
      </c>
      <c r="AL35" t="s">
        <v>138</v>
      </c>
      <c r="AM35" t="s">
        <v>138</v>
      </c>
      <c r="AN35" t="s">
        <v>138</v>
      </c>
      <c r="AO35" t="s">
        <v>138</v>
      </c>
      <c r="AP35" t="s">
        <v>138</v>
      </c>
      <c r="AQ35" t="s">
        <v>138</v>
      </c>
      <c r="AR35" t="s">
        <v>138</v>
      </c>
      <c r="AS35" t="s">
        <v>138</v>
      </c>
      <c r="AT35" t="s">
        <v>138</v>
      </c>
      <c r="AU35" t="s">
        <v>138</v>
      </c>
      <c r="AV35" t="s">
        <v>138</v>
      </c>
      <c r="AW35" t="s">
        <v>138</v>
      </c>
      <c r="AX35" t="s">
        <v>138</v>
      </c>
      <c r="AY35" t="s">
        <v>138</v>
      </c>
      <c r="AZ35" t="s">
        <v>138</v>
      </c>
      <c r="BA35" t="s">
        <v>138</v>
      </c>
      <c r="BB35" t="s">
        <v>138</v>
      </c>
      <c r="BC35" t="s">
        <v>138</v>
      </c>
      <c r="BD35" t="s">
        <v>138</v>
      </c>
      <c r="BE35" t="s">
        <v>138</v>
      </c>
      <c r="BF35" t="s">
        <v>138</v>
      </c>
      <c r="BG35" t="s">
        <v>138</v>
      </c>
      <c r="BH35" t="s">
        <v>138</v>
      </c>
      <c r="BI35" t="s">
        <v>138</v>
      </c>
      <c r="BJ35" t="s">
        <v>138</v>
      </c>
      <c r="BK35" t="s">
        <v>138</v>
      </c>
      <c r="BL35" t="s">
        <v>138</v>
      </c>
      <c r="BM35" t="s">
        <v>138</v>
      </c>
      <c r="BN35" t="s">
        <v>138</v>
      </c>
    </row>
    <row r="36" spans="1:66" x14ac:dyDescent="0.25">
      <c r="A36">
        <f>YEAR([1]chla!A36)</f>
        <v>2024</v>
      </c>
      <c r="B36">
        <f>MONTH([1]chla!A36)</f>
        <v>2</v>
      </c>
      <c r="C36">
        <f>DAY([1]chla!A36)</f>
        <v>3</v>
      </c>
      <c r="D36">
        <v>-65.627089999999995</v>
      </c>
      <c r="E36">
        <v>-59.291069999999998</v>
      </c>
      <c r="F36">
        <v>14.221</v>
      </c>
      <c r="G36">
        <v>0.40886545130603502</v>
      </c>
      <c r="H36">
        <v>4.53485412490853E-2</v>
      </c>
      <c r="I36">
        <v>0.31419140339155599</v>
      </c>
      <c r="J36">
        <v>4.9325506665394002E-2</v>
      </c>
      <c r="K36" t="s">
        <v>20</v>
      </c>
      <c r="L36" t="s">
        <v>20</v>
      </c>
      <c r="M36" t="s">
        <v>138</v>
      </c>
      <c r="N36" t="s">
        <v>138</v>
      </c>
      <c r="O36" t="s">
        <v>138</v>
      </c>
      <c r="P36" t="s">
        <v>138</v>
      </c>
      <c r="Q36" t="s">
        <v>138</v>
      </c>
      <c r="R36" t="s">
        <v>138</v>
      </c>
      <c r="S36" t="s">
        <v>138</v>
      </c>
      <c r="T36" t="s">
        <v>138</v>
      </c>
      <c r="U36" t="s">
        <v>138</v>
      </c>
      <c r="V36" t="s">
        <v>138</v>
      </c>
      <c r="W36" t="s">
        <v>138</v>
      </c>
      <c r="X36" t="s">
        <v>138</v>
      </c>
      <c r="Y36" t="s">
        <v>138</v>
      </c>
      <c r="Z36" t="s">
        <v>138</v>
      </c>
      <c r="AA36" t="s">
        <v>138</v>
      </c>
      <c r="AB36" t="s">
        <v>138</v>
      </c>
      <c r="AC36" t="s">
        <v>138</v>
      </c>
      <c r="AD36" t="s">
        <v>138</v>
      </c>
      <c r="AE36" t="s">
        <v>138</v>
      </c>
      <c r="AF36" t="s">
        <v>138</v>
      </c>
      <c r="AG36" t="s">
        <v>138</v>
      </c>
      <c r="AH36" t="s">
        <v>138</v>
      </c>
      <c r="AI36" t="s">
        <v>138</v>
      </c>
      <c r="AJ36" t="s">
        <v>138</v>
      </c>
      <c r="AK36" t="s">
        <v>138</v>
      </c>
      <c r="AL36" t="s">
        <v>138</v>
      </c>
      <c r="AM36" t="s">
        <v>138</v>
      </c>
      <c r="AN36" t="s">
        <v>138</v>
      </c>
      <c r="AO36" t="s">
        <v>138</v>
      </c>
      <c r="AP36" t="s">
        <v>138</v>
      </c>
      <c r="AQ36" t="s">
        <v>138</v>
      </c>
      <c r="AR36" t="s">
        <v>138</v>
      </c>
      <c r="AS36" t="s">
        <v>138</v>
      </c>
      <c r="AT36" t="s">
        <v>138</v>
      </c>
      <c r="AU36" t="s">
        <v>138</v>
      </c>
      <c r="AV36" t="s">
        <v>138</v>
      </c>
      <c r="AW36" t="s">
        <v>138</v>
      </c>
      <c r="AX36" t="s">
        <v>138</v>
      </c>
      <c r="AY36" t="s">
        <v>138</v>
      </c>
      <c r="AZ36" t="s">
        <v>138</v>
      </c>
      <c r="BA36" t="s">
        <v>138</v>
      </c>
      <c r="BB36" t="s">
        <v>138</v>
      </c>
      <c r="BC36" t="s">
        <v>138</v>
      </c>
      <c r="BD36" t="s">
        <v>138</v>
      </c>
      <c r="BE36" t="s">
        <v>138</v>
      </c>
      <c r="BF36" t="s">
        <v>138</v>
      </c>
      <c r="BG36" t="s">
        <v>138</v>
      </c>
      <c r="BH36" t="s">
        <v>138</v>
      </c>
      <c r="BI36" t="s">
        <v>138</v>
      </c>
      <c r="BJ36" t="s">
        <v>138</v>
      </c>
      <c r="BK36" t="s">
        <v>138</v>
      </c>
      <c r="BL36" t="s">
        <v>138</v>
      </c>
      <c r="BM36" t="s">
        <v>138</v>
      </c>
      <c r="BN36" t="s">
        <v>138</v>
      </c>
    </row>
    <row r="37" spans="1:66" x14ac:dyDescent="0.25">
      <c r="A37">
        <f>YEAR([1]chla!A37)</f>
        <v>2024</v>
      </c>
      <c r="B37">
        <f>MONTH([1]chla!A37)</f>
        <v>2</v>
      </c>
      <c r="C37">
        <f>DAY([1]chla!A37)</f>
        <v>3</v>
      </c>
      <c r="D37">
        <v>-65.627089999999995</v>
      </c>
      <c r="E37">
        <v>-59.291069999999998</v>
      </c>
      <c r="F37">
        <v>1.756</v>
      </c>
      <c r="G37">
        <v>0.54917279119340701</v>
      </c>
      <c r="H37">
        <v>6.6187840030543094E-2</v>
      </c>
      <c r="I37">
        <v>0.44495402627978697</v>
      </c>
      <c r="J37">
        <v>3.8030924883077202E-2</v>
      </c>
      <c r="K37" t="s">
        <v>20</v>
      </c>
      <c r="L37" t="s">
        <v>20</v>
      </c>
      <c r="M37" t="s">
        <v>197</v>
      </c>
      <c r="N37" t="s">
        <v>20</v>
      </c>
      <c r="O37" t="s">
        <v>138</v>
      </c>
      <c r="P37" t="s">
        <v>138</v>
      </c>
      <c r="Q37" t="s">
        <v>138</v>
      </c>
      <c r="R37" t="s">
        <v>138</v>
      </c>
      <c r="S37" t="s">
        <v>138</v>
      </c>
      <c r="T37">
        <v>7</v>
      </c>
      <c r="U37" t="s">
        <v>138</v>
      </c>
      <c r="V37" t="s">
        <v>111</v>
      </c>
      <c r="W37">
        <v>0.1007</v>
      </c>
      <c r="X37">
        <v>0</v>
      </c>
      <c r="Y37">
        <v>9.0499999999999997E-2</v>
      </c>
      <c r="Z37">
        <v>1.2E-2</v>
      </c>
      <c r="AA37">
        <v>6.3E-2</v>
      </c>
      <c r="AB37">
        <v>0</v>
      </c>
      <c r="AC37">
        <v>0</v>
      </c>
      <c r="AD37" t="s">
        <v>138</v>
      </c>
      <c r="AE37" t="s">
        <v>138</v>
      </c>
      <c r="AF37">
        <v>0.39450000000000002</v>
      </c>
      <c r="AG37">
        <v>0.29892200000000002</v>
      </c>
      <c r="AH37">
        <v>0.47499682191340892</v>
      </c>
      <c r="AI37">
        <v>0.52500317808659114</v>
      </c>
      <c r="AJ37">
        <v>0</v>
      </c>
      <c r="AK37">
        <v>0.18738624624483979</v>
      </c>
      <c r="AL37">
        <v>0.2071137537551602</v>
      </c>
      <c r="AM37">
        <v>0</v>
      </c>
      <c r="AN37">
        <v>0.50888900000000004</v>
      </c>
      <c r="AO37">
        <v>0</v>
      </c>
      <c r="AP37">
        <v>0.74077451074792333</v>
      </c>
      <c r="AQ37">
        <v>0.25922548925207661</v>
      </c>
      <c r="AR37">
        <v>0</v>
      </c>
      <c r="AS37">
        <v>0.29223554449005579</v>
      </c>
      <c r="AT37">
        <v>0.1022644555099442</v>
      </c>
      <c r="AU37">
        <v>0.404918</v>
      </c>
      <c r="AV37">
        <v>2.808091823628477E-3</v>
      </c>
      <c r="AW37">
        <v>0</v>
      </c>
      <c r="AX37">
        <v>0.57934218724066</v>
      </c>
      <c r="AY37">
        <v>0.42065781275934</v>
      </c>
      <c r="AZ37">
        <v>0</v>
      </c>
      <c r="BA37">
        <v>0.22855049286644041</v>
      </c>
      <c r="BB37">
        <v>0.1659495071335596</v>
      </c>
      <c r="BC37">
        <v>0.33385999999999999</v>
      </c>
      <c r="BD37">
        <v>1.440899779774407E-2</v>
      </c>
      <c r="BE37">
        <v>0</v>
      </c>
      <c r="BF37">
        <v>0.66399597776633112</v>
      </c>
      <c r="BG37">
        <v>0.33600402223366888</v>
      </c>
      <c r="BH37">
        <v>0</v>
      </c>
      <c r="BI37">
        <v>0.26194641322881762</v>
      </c>
      <c r="BJ37">
        <v>0.1325535867711824</v>
      </c>
      <c r="BK37">
        <v>2.500490946319216</v>
      </c>
      <c r="BL37">
        <v>0.28607310870279351</v>
      </c>
      <c r="BM37">
        <v>0.63222921870360149</v>
      </c>
      <c r="BN37">
        <v>0.75010380425240719</v>
      </c>
    </row>
    <row r="38" spans="1:66" x14ac:dyDescent="0.25">
      <c r="A38">
        <f>YEAR([1]chla!A38)</f>
        <v>2024</v>
      </c>
      <c r="B38">
        <f>MONTH([1]chla!A38)</f>
        <v>2</v>
      </c>
      <c r="C38">
        <f>DAY([1]chla!A38)</f>
        <v>4</v>
      </c>
      <c r="D38">
        <v>-64.586439999999996</v>
      </c>
      <c r="E38">
        <v>-58.263460000000002</v>
      </c>
      <c r="F38">
        <v>78.733999999999995</v>
      </c>
      <c r="G38">
        <v>0.21797111132321501</v>
      </c>
      <c r="H38">
        <v>4.4075912315866501E-2</v>
      </c>
      <c r="I38">
        <v>0.159248830772167</v>
      </c>
      <c r="J38">
        <v>1.4646368235181799E-2</v>
      </c>
      <c r="K38" t="s">
        <v>21</v>
      </c>
      <c r="L38" t="s">
        <v>21</v>
      </c>
      <c r="M38" t="s">
        <v>138</v>
      </c>
      <c r="N38" t="s">
        <v>138</v>
      </c>
      <c r="O38" t="s">
        <v>138</v>
      </c>
      <c r="P38" t="s">
        <v>138</v>
      </c>
      <c r="Q38" t="s">
        <v>138</v>
      </c>
      <c r="R38" t="s">
        <v>138</v>
      </c>
      <c r="S38" t="s">
        <v>138</v>
      </c>
      <c r="T38" t="s">
        <v>138</v>
      </c>
      <c r="U38" t="s">
        <v>138</v>
      </c>
      <c r="V38" t="s">
        <v>138</v>
      </c>
      <c r="W38" t="s">
        <v>138</v>
      </c>
      <c r="X38" t="s">
        <v>138</v>
      </c>
      <c r="Y38" t="s">
        <v>138</v>
      </c>
      <c r="Z38" t="s">
        <v>138</v>
      </c>
      <c r="AA38" t="s">
        <v>138</v>
      </c>
      <c r="AB38" t="s">
        <v>138</v>
      </c>
      <c r="AC38" t="s">
        <v>138</v>
      </c>
      <c r="AD38" t="s">
        <v>138</v>
      </c>
      <c r="AE38" t="s">
        <v>138</v>
      </c>
      <c r="AF38" t="s">
        <v>138</v>
      </c>
      <c r="AG38" t="s">
        <v>138</v>
      </c>
      <c r="AH38" t="s">
        <v>138</v>
      </c>
      <c r="AI38" t="s">
        <v>138</v>
      </c>
      <c r="AJ38" t="s">
        <v>138</v>
      </c>
      <c r="AK38" t="s">
        <v>138</v>
      </c>
      <c r="AL38" t="s">
        <v>138</v>
      </c>
      <c r="AM38" t="s">
        <v>138</v>
      </c>
      <c r="AN38" t="s">
        <v>138</v>
      </c>
      <c r="AO38" t="s">
        <v>138</v>
      </c>
      <c r="AP38" t="s">
        <v>138</v>
      </c>
      <c r="AQ38" t="s">
        <v>138</v>
      </c>
      <c r="AR38" t="s">
        <v>138</v>
      </c>
      <c r="AS38" t="s">
        <v>138</v>
      </c>
      <c r="AT38" t="s">
        <v>138</v>
      </c>
      <c r="AU38" t="s">
        <v>138</v>
      </c>
      <c r="AV38" t="s">
        <v>138</v>
      </c>
      <c r="AW38" t="s">
        <v>138</v>
      </c>
      <c r="AX38" t="s">
        <v>138</v>
      </c>
      <c r="AY38" t="s">
        <v>138</v>
      </c>
      <c r="AZ38" t="s">
        <v>138</v>
      </c>
      <c r="BA38" t="s">
        <v>138</v>
      </c>
      <c r="BB38" t="s">
        <v>138</v>
      </c>
      <c r="BC38" t="s">
        <v>138</v>
      </c>
      <c r="BD38" t="s">
        <v>138</v>
      </c>
      <c r="BE38" t="s">
        <v>138</v>
      </c>
      <c r="BF38" t="s">
        <v>138</v>
      </c>
      <c r="BG38" t="s">
        <v>138</v>
      </c>
      <c r="BH38" t="s">
        <v>138</v>
      </c>
      <c r="BI38" t="s">
        <v>138</v>
      </c>
      <c r="BJ38" t="s">
        <v>138</v>
      </c>
      <c r="BK38" t="s">
        <v>138</v>
      </c>
      <c r="BL38" t="s">
        <v>138</v>
      </c>
      <c r="BM38" t="s">
        <v>138</v>
      </c>
      <c r="BN38" t="s">
        <v>138</v>
      </c>
    </row>
    <row r="39" spans="1:66" x14ac:dyDescent="0.25">
      <c r="A39">
        <f>YEAR([1]chla!A39)</f>
        <v>2024</v>
      </c>
      <c r="B39">
        <f>MONTH([1]chla!A39)</f>
        <v>2</v>
      </c>
      <c r="C39">
        <f>DAY([1]chla!A39)</f>
        <v>4</v>
      </c>
      <c r="D39">
        <v>-64.586439999999996</v>
      </c>
      <c r="E39">
        <v>-58.263460000000002</v>
      </c>
      <c r="F39">
        <v>52.436</v>
      </c>
      <c r="G39">
        <v>0.31389551716458203</v>
      </c>
      <c r="H39">
        <v>3.7235531799815397E-2</v>
      </c>
      <c r="I39">
        <v>0.25008272088065903</v>
      </c>
      <c r="J39">
        <v>2.6577264484108E-2</v>
      </c>
      <c r="K39" t="s">
        <v>21</v>
      </c>
      <c r="L39" t="s">
        <v>21</v>
      </c>
      <c r="M39" t="s">
        <v>138</v>
      </c>
      <c r="N39" t="s">
        <v>138</v>
      </c>
      <c r="O39" t="s">
        <v>138</v>
      </c>
      <c r="P39" t="s">
        <v>138</v>
      </c>
      <c r="Q39" t="s">
        <v>138</v>
      </c>
      <c r="R39" t="s">
        <v>138</v>
      </c>
      <c r="S39" t="s">
        <v>138</v>
      </c>
      <c r="T39" t="s">
        <v>138</v>
      </c>
      <c r="U39" t="s">
        <v>138</v>
      </c>
      <c r="V39" t="s">
        <v>138</v>
      </c>
      <c r="W39" t="s">
        <v>138</v>
      </c>
      <c r="X39" t="s">
        <v>138</v>
      </c>
      <c r="Y39" t="s">
        <v>138</v>
      </c>
      <c r="Z39" t="s">
        <v>138</v>
      </c>
      <c r="AA39" t="s">
        <v>138</v>
      </c>
      <c r="AB39" t="s">
        <v>138</v>
      </c>
      <c r="AC39" t="s">
        <v>138</v>
      </c>
      <c r="AD39" t="s">
        <v>138</v>
      </c>
      <c r="AE39" t="s">
        <v>138</v>
      </c>
      <c r="AF39" t="s">
        <v>138</v>
      </c>
      <c r="AG39" t="s">
        <v>138</v>
      </c>
      <c r="AH39" t="s">
        <v>138</v>
      </c>
      <c r="AI39" t="s">
        <v>138</v>
      </c>
      <c r="AJ39" t="s">
        <v>138</v>
      </c>
      <c r="AK39" t="s">
        <v>138</v>
      </c>
      <c r="AL39" t="s">
        <v>138</v>
      </c>
      <c r="AM39" t="s">
        <v>138</v>
      </c>
      <c r="AN39" t="s">
        <v>138</v>
      </c>
      <c r="AO39" t="s">
        <v>138</v>
      </c>
      <c r="AP39" t="s">
        <v>138</v>
      </c>
      <c r="AQ39" t="s">
        <v>138</v>
      </c>
      <c r="AR39" t="s">
        <v>138</v>
      </c>
      <c r="AS39" t="s">
        <v>138</v>
      </c>
      <c r="AT39" t="s">
        <v>138</v>
      </c>
      <c r="AU39" t="s">
        <v>138</v>
      </c>
      <c r="AV39" t="s">
        <v>138</v>
      </c>
      <c r="AW39" t="s">
        <v>138</v>
      </c>
      <c r="AX39" t="s">
        <v>138</v>
      </c>
      <c r="AY39" t="s">
        <v>138</v>
      </c>
      <c r="AZ39" t="s">
        <v>138</v>
      </c>
      <c r="BA39" t="s">
        <v>138</v>
      </c>
      <c r="BB39" t="s">
        <v>138</v>
      </c>
      <c r="BC39" t="s">
        <v>138</v>
      </c>
      <c r="BD39" t="s">
        <v>138</v>
      </c>
      <c r="BE39" t="s">
        <v>138</v>
      </c>
      <c r="BF39" t="s">
        <v>138</v>
      </c>
      <c r="BG39" t="s">
        <v>138</v>
      </c>
      <c r="BH39" t="s">
        <v>138</v>
      </c>
      <c r="BI39" t="s">
        <v>138</v>
      </c>
      <c r="BJ39" t="s">
        <v>138</v>
      </c>
      <c r="BK39" t="s">
        <v>138</v>
      </c>
      <c r="BL39" t="s">
        <v>138</v>
      </c>
      <c r="BM39" t="s">
        <v>138</v>
      </c>
      <c r="BN39" t="s">
        <v>138</v>
      </c>
    </row>
    <row r="40" spans="1:66" x14ac:dyDescent="0.25">
      <c r="A40">
        <f>YEAR([1]chla!A40)</f>
        <v>2024</v>
      </c>
      <c r="B40">
        <f>MONTH([1]chla!A40)</f>
        <v>2</v>
      </c>
      <c r="C40">
        <f>DAY([1]chla!A40)</f>
        <v>4</v>
      </c>
      <c r="D40">
        <v>-64.586439999999996</v>
      </c>
      <c r="E40">
        <v>-58.263460000000002</v>
      </c>
      <c r="F40">
        <v>35.262</v>
      </c>
      <c r="G40">
        <v>0.462634023734529</v>
      </c>
      <c r="H40">
        <v>4.53485412490853E-2</v>
      </c>
      <c r="I40">
        <v>0.36780089720339798</v>
      </c>
      <c r="J40">
        <v>4.9484585282046301E-2</v>
      </c>
      <c r="K40" t="s">
        <v>21</v>
      </c>
      <c r="L40" t="s">
        <v>21</v>
      </c>
      <c r="M40" t="s">
        <v>138</v>
      </c>
      <c r="N40" t="s">
        <v>138</v>
      </c>
      <c r="O40" t="s">
        <v>138</v>
      </c>
      <c r="P40" t="s">
        <v>138</v>
      </c>
      <c r="Q40" t="s">
        <v>138</v>
      </c>
      <c r="R40" t="s">
        <v>138</v>
      </c>
      <c r="S40" t="s">
        <v>138</v>
      </c>
      <c r="T40" t="s">
        <v>138</v>
      </c>
      <c r="U40" t="s">
        <v>138</v>
      </c>
      <c r="V40" t="s">
        <v>138</v>
      </c>
      <c r="W40" t="s">
        <v>138</v>
      </c>
      <c r="X40" t="s">
        <v>138</v>
      </c>
      <c r="Y40" t="s">
        <v>138</v>
      </c>
      <c r="Z40" t="s">
        <v>138</v>
      </c>
      <c r="AA40" t="s">
        <v>138</v>
      </c>
      <c r="AB40" t="s">
        <v>138</v>
      </c>
      <c r="AC40" t="s">
        <v>138</v>
      </c>
      <c r="AD40" t="s">
        <v>138</v>
      </c>
      <c r="AE40" t="s">
        <v>138</v>
      </c>
      <c r="AF40" t="s">
        <v>138</v>
      </c>
      <c r="AG40" t="s">
        <v>138</v>
      </c>
      <c r="AH40" t="s">
        <v>138</v>
      </c>
      <c r="AI40" t="s">
        <v>138</v>
      </c>
      <c r="AJ40" t="s">
        <v>138</v>
      </c>
      <c r="AK40" t="s">
        <v>138</v>
      </c>
      <c r="AL40" t="s">
        <v>138</v>
      </c>
      <c r="AM40" t="s">
        <v>138</v>
      </c>
      <c r="AN40" t="s">
        <v>138</v>
      </c>
      <c r="AO40" t="s">
        <v>138</v>
      </c>
      <c r="AP40" t="s">
        <v>138</v>
      </c>
      <c r="AQ40" t="s">
        <v>138</v>
      </c>
      <c r="AR40" t="s">
        <v>138</v>
      </c>
      <c r="AS40" t="s">
        <v>138</v>
      </c>
      <c r="AT40" t="s">
        <v>138</v>
      </c>
      <c r="AU40" t="s">
        <v>138</v>
      </c>
      <c r="AV40" t="s">
        <v>138</v>
      </c>
      <c r="AW40" t="s">
        <v>138</v>
      </c>
      <c r="AX40" t="s">
        <v>138</v>
      </c>
      <c r="AY40" t="s">
        <v>138</v>
      </c>
      <c r="AZ40" t="s">
        <v>138</v>
      </c>
      <c r="BA40" t="s">
        <v>138</v>
      </c>
      <c r="BB40" t="s">
        <v>138</v>
      </c>
      <c r="BC40" t="s">
        <v>138</v>
      </c>
      <c r="BD40" t="s">
        <v>138</v>
      </c>
      <c r="BE40" t="s">
        <v>138</v>
      </c>
      <c r="BF40" t="s">
        <v>138</v>
      </c>
      <c r="BG40" t="s">
        <v>138</v>
      </c>
      <c r="BH40" t="s">
        <v>138</v>
      </c>
      <c r="BI40" t="s">
        <v>138</v>
      </c>
      <c r="BJ40" t="s">
        <v>138</v>
      </c>
      <c r="BK40" t="s">
        <v>138</v>
      </c>
      <c r="BL40" t="s">
        <v>138</v>
      </c>
      <c r="BM40" t="s">
        <v>138</v>
      </c>
      <c r="BN40" t="s">
        <v>138</v>
      </c>
    </row>
    <row r="41" spans="1:66" x14ac:dyDescent="0.25">
      <c r="A41">
        <f>YEAR([1]chla!A41)</f>
        <v>2024</v>
      </c>
      <c r="B41">
        <f>MONTH([1]chla!A41)</f>
        <v>2</v>
      </c>
      <c r="C41">
        <f>DAY([1]chla!A41)</f>
        <v>4</v>
      </c>
      <c r="D41">
        <v>-64.586439999999996</v>
      </c>
      <c r="E41">
        <v>-58.263460000000002</v>
      </c>
      <c r="F41">
        <v>22.111000000000001</v>
      </c>
      <c r="G41">
        <v>0.59371480385606501</v>
      </c>
      <c r="H41">
        <v>5.3779707931659801E-2</v>
      </c>
      <c r="I41">
        <v>0.48710985969266002</v>
      </c>
      <c r="J41">
        <v>5.2825236231745697E-2</v>
      </c>
      <c r="K41" t="s">
        <v>21</v>
      </c>
      <c r="L41" t="s">
        <v>21</v>
      </c>
      <c r="M41" t="s">
        <v>195</v>
      </c>
      <c r="N41" t="s">
        <v>21</v>
      </c>
      <c r="O41" s="3">
        <v>45326</v>
      </c>
      <c r="P41" t="s">
        <v>107</v>
      </c>
      <c r="Q41">
        <v>-64.588933483333307</v>
      </c>
      <c r="R41">
        <v>-58.257505199999997</v>
      </c>
      <c r="S41" t="s">
        <v>108</v>
      </c>
      <c r="T41">
        <v>20</v>
      </c>
      <c r="U41">
        <v>500</v>
      </c>
      <c r="V41" s="4" t="s">
        <v>103</v>
      </c>
      <c r="W41">
        <v>0.1728930428677887</v>
      </c>
      <c r="X41">
        <v>3.6563777584708379E-3</v>
      </c>
      <c r="Y41">
        <v>3.165813014537789E-2</v>
      </c>
      <c r="Z41">
        <v>1.5675364788664901E-2</v>
      </c>
      <c r="AA41">
        <v>1.0733369115438511E-2</v>
      </c>
      <c r="AB41">
        <v>2.7640071869266879E-2</v>
      </c>
      <c r="AC41">
        <v>1.7120307684485221E-3</v>
      </c>
      <c r="AD41">
        <v>2.8598203665403481E-2</v>
      </c>
      <c r="AE41">
        <v>0.47360990551743559</v>
      </c>
      <c r="AF41">
        <v>0.50220810918283909</v>
      </c>
      <c r="AG41">
        <v>0.33045572656177691</v>
      </c>
      <c r="AH41">
        <v>0.75330721507859522</v>
      </c>
      <c r="AI41">
        <v>0.1577585747184197</v>
      </c>
      <c r="AJ41">
        <v>8.8934210202985226E-2</v>
      </c>
      <c r="AK41">
        <v>0.37831699211841158</v>
      </c>
      <c r="AL41">
        <v>7.9227635516717188E-2</v>
      </c>
      <c r="AM41">
        <v>4.4663481547710368E-2</v>
      </c>
      <c r="AN41">
        <v>0.54226881297117691</v>
      </c>
      <c r="AO41">
        <v>2.8755333468579919E-2</v>
      </c>
      <c r="AP41">
        <v>0.5513486935922548</v>
      </c>
      <c r="AQ41">
        <v>0.41989597293916531</v>
      </c>
      <c r="AR41">
        <v>1.4441161650177531E-2</v>
      </c>
      <c r="AS41">
        <v>0.27689178490939481</v>
      </c>
      <c r="AT41">
        <v>0.2108751626232668</v>
      </c>
      <c r="AU41">
        <v>0.42413969036651561</v>
      </c>
      <c r="AV41">
        <v>2.7644129064846772E-3</v>
      </c>
      <c r="AW41">
        <v>0.12019587198365669</v>
      </c>
      <c r="AX41">
        <v>0.16876124008256749</v>
      </c>
      <c r="AY41">
        <v>0.71104288793377579</v>
      </c>
      <c r="AZ41">
        <v>6.0363341600494828E-2</v>
      </c>
      <c r="BA41">
        <v>8.4753263285217401E-2</v>
      </c>
      <c r="BB41">
        <v>0.35709150429712688</v>
      </c>
      <c r="BC41">
        <v>0.32884087609574869</v>
      </c>
      <c r="BD41">
        <v>1.465656032542598E-2</v>
      </c>
      <c r="BE41">
        <v>0.1168776053757131</v>
      </c>
      <c r="BF41">
        <v>0.24745102205314931</v>
      </c>
      <c r="BG41">
        <v>0.63567137257113759</v>
      </c>
      <c r="BH41">
        <v>5.8696881201554911E-2</v>
      </c>
      <c r="BI41">
        <v>0.12427190990067311</v>
      </c>
      <c r="BJ41">
        <v>0.31923931808061112</v>
      </c>
      <c r="BK41" t="s">
        <v>138</v>
      </c>
      <c r="BL41" t="s">
        <v>138</v>
      </c>
      <c r="BM41" t="s">
        <v>138</v>
      </c>
      <c r="BN41" t="s">
        <v>138</v>
      </c>
    </row>
    <row r="42" spans="1:66" x14ac:dyDescent="0.25">
      <c r="A42">
        <f>YEAR([1]chla!A42)</f>
        <v>2024</v>
      </c>
      <c r="B42">
        <f>MONTH([1]chla!A42)</f>
        <v>2</v>
      </c>
      <c r="C42">
        <f>DAY([1]chla!A42)</f>
        <v>4</v>
      </c>
      <c r="D42">
        <v>-64.586439999999996</v>
      </c>
      <c r="E42">
        <v>-58.263460000000002</v>
      </c>
      <c r="F42">
        <v>13.109</v>
      </c>
      <c r="G42">
        <v>0.71620533867837399</v>
      </c>
      <c r="H42">
        <v>4.53485412490853E-2</v>
      </c>
      <c r="I42">
        <v>0.59098819636664401</v>
      </c>
      <c r="J42">
        <v>7.9868601062645095E-2</v>
      </c>
      <c r="K42" t="s">
        <v>21</v>
      </c>
      <c r="L42" t="s">
        <v>21</v>
      </c>
      <c r="M42" t="s">
        <v>138</v>
      </c>
      <c r="N42" t="s">
        <v>138</v>
      </c>
      <c r="O42" t="s">
        <v>138</v>
      </c>
      <c r="P42" t="s">
        <v>138</v>
      </c>
      <c r="Q42" t="s">
        <v>138</v>
      </c>
      <c r="R42" t="s">
        <v>138</v>
      </c>
      <c r="S42" t="s">
        <v>138</v>
      </c>
      <c r="T42" t="s">
        <v>138</v>
      </c>
      <c r="U42" t="s">
        <v>138</v>
      </c>
      <c r="V42" t="s">
        <v>138</v>
      </c>
      <c r="W42" t="s">
        <v>138</v>
      </c>
      <c r="X42" t="s">
        <v>138</v>
      </c>
      <c r="Y42" t="s">
        <v>138</v>
      </c>
      <c r="Z42" t="s">
        <v>138</v>
      </c>
      <c r="AA42" t="s">
        <v>138</v>
      </c>
      <c r="AB42" t="s">
        <v>138</v>
      </c>
      <c r="AC42" t="s">
        <v>138</v>
      </c>
      <c r="AD42" t="s">
        <v>138</v>
      </c>
      <c r="AE42" t="s">
        <v>138</v>
      </c>
      <c r="AF42" t="s">
        <v>138</v>
      </c>
      <c r="AG42" t="s">
        <v>138</v>
      </c>
      <c r="AH42" t="s">
        <v>138</v>
      </c>
      <c r="AI42" t="s">
        <v>138</v>
      </c>
      <c r="AJ42" t="s">
        <v>138</v>
      </c>
      <c r="AK42" t="s">
        <v>138</v>
      </c>
      <c r="AL42" t="s">
        <v>138</v>
      </c>
      <c r="AM42" t="s">
        <v>138</v>
      </c>
      <c r="AN42" t="s">
        <v>138</v>
      </c>
      <c r="AO42" t="s">
        <v>138</v>
      </c>
      <c r="AP42" t="s">
        <v>138</v>
      </c>
      <c r="AQ42" t="s">
        <v>138</v>
      </c>
      <c r="AR42" t="s">
        <v>138</v>
      </c>
      <c r="AS42" t="s">
        <v>138</v>
      </c>
      <c r="AT42" t="s">
        <v>138</v>
      </c>
      <c r="AU42" t="s">
        <v>138</v>
      </c>
      <c r="AV42" t="s">
        <v>138</v>
      </c>
      <c r="AW42" t="s">
        <v>138</v>
      </c>
      <c r="AX42" t="s">
        <v>138</v>
      </c>
      <c r="AY42" t="s">
        <v>138</v>
      </c>
      <c r="AZ42" t="s">
        <v>138</v>
      </c>
      <c r="BA42" t="s">
        <v>138</v>
      </c>
      <c r="BB42" t="s">
        <v>138</v>
      </c>
      <c r="BC42" t="s">
        <v>138</v>
      </c>
      <c r="BD42" t="s">
        <v>138</v>
      </c>
      <c r="BE42" t="s">
        <v>138</v>
      </c>
      <c r="BF42" t="s">
        <v>138</v>
      </c>
      <c r="BG42" t="s">
        <v>138</v>
      </c>
      <c r="BH42" t="s">
        <v>138</v>
      </c>
      <c r="BI42" t="s">
        <v>138</v>
      </c>
      <c r="BJ42" t="s">
        <v>138</v>
      </c>
      <c r="BK42" t="s">
        <v>138</v>
      </c>
      <c r="BL42" t="s">
        <v>138</v>
      </c>
      <c r="BM42" t="s">
        <v>138</v>
      </c>
      <c r="BN42" t="s">
        <v>138</v>
      </c>
    </row>
    <row r="43" spans="1:66" x14ac:dyDescent="0.25">
      <c r="A43">
        <f>YEAR([1]chla!A43)</f>
        <v>2024</v>
      </c>
      <c r="B43">
        <f>MONTH([1]chla!A43)</f>
        <v>2</v>
      </c>
      <c r="C43">
        <f>DAY([1]chla!A43)</f>
        <v>4</v>
      </c>
      <c r="D43">
        <v>-64.586439999999996</v>
      </c>
      <c r="E43">
        <v>-58.263460000000002</v>
      </c>
      <c r="F43">
        <v>1.9</v>
      </c>
      <c r="G43">
        <v>1.8760475326906501</v>
      </c>
      <c r="H43">
        <v>5.1552607298526898E-2</v>
      </c>
      <c r="I43">
        <v>1.5970013680760999</v>
      </c>
      <c r="J43">
        <v>0.227493557316025</v>
      </c>
      <c r="K43" t="s">
        <v>21</v>
      </c>
      <c r="L43" t="s">
        <v>21</v>
      </c>
      <c r="M43" t="s">
        <v>197</v>
      </c>
      <c r="N43" t="s">
        <v>21</v>
      </c>
      <c r="O43" t="s">
        <v>138</v>
      </c>
      <c r="P43" t="s">
        <v>138</v>
      </c>
      <c r="Q43" t="s">
        <v>138</v>
      </c>
      <c r="R43" t="s">
        <v>138</v>
      </c>
      <c r="S43" t="s">
        <v>138</v>
      </c>
      <c r="T43">
        <v>7</v>
      </c>
      <c r="U43" t="s">
        <v>138</v>
      </c>
      <c r="V43" t="s">
        <v>111</v>
      </c>
      <c r="W43">
        <v>0.3659</v>
      </c>
      <c r="X43">
        <v>0</v>
      </c>
      <c r="Y43">
        <v>9.5799999999999996E-2</v>
      </c>
      <c r="Z43">
        <v>0.05</v>
      </c>
      <c r="AA43">
        <v>0.99639999999999995</v>
      </c>
      <c r="AB43">
        <v>1.7500000000000002E-2</v>
      </c>
      <c r="AC43">
        <v>0</v>
      </c>
      <c r="AD43" t="s">
        <v>138</v>
      </c>
      <c r="AE43" t="s">
        <v>138</v>
      </c>
      <c r="AF43">
        <v>2.7046999999999999</v>
      </c>
      <c r="AG43">
        <v>1.2706</v>
      </c>
      <c r="AH43">
        <v>0.40604360144813478</v>
      </c>
      <c r="AI43">
        <v>0.58004564772548395</v>
      </c>
      <c r="AJ43">
        <v>1.3910750826381241E-2</v>
      </c>
      <c r="AK43">
        <v>1.0982261288367701</v>
      </c>
      <c r="AL43">
        <v>1.568849463403116</v>
      </c>
      <c r="AM43">
        <v>3.7624407760113339E-2</v>
      </c>
      <c r="AN43">
        <v>3.6889500000000002</v>
      </c>
      <c r="AO43">
        <v>2.2296317380284358E-3</v>
      </c>
      <c r="AP43">
        <v>0.86783393648599194</v>
      </c>
      <c r="AQ43">
        <v>0.12993643177597961</v>
      </c>
      <c r="AR43">
        <v>6.0304849618455112E-3</v>
      </c>
      <c r="AS43">
        <v>2.3472304480136619</v>
      </c>
      <c r="AT43">
        <v>0.35143906702449212</v>
      </c>
      <c r="AU43">
        <v>2.5677720000000002</v>
      </c>
      <c r="AV43">
        <v>1.496333892052523E-2</v>
      </c>
      <c r="AW43">
        <v>1.213113936907171E-2</v>
      </c>
      <c r="AX43">
        <v>0.7500635608308347</v>
      </c>
      <c r="AY43">
        <v>0.23780529980009371</v>
      </c>
      <c r="AZ43">
        <v>3.2811092651528248E-2</v>
      </c>
      <c r="BA43">
        <v>2.028696912979159</v>
      </c>
      <c r="BB43">
        <v>0.64319199436931329</v>
      </c>
      <c r="BC43">
        <v>2.2315510000000001</v>
      </c>
      <c r="BD43">
        <v>4.9022742724168081E-2</v>
      </c>
      <c r="BE43">
        <v>1.027312393935877E-2</v>
      </c>
      <c r="BF43">
        <v>0.80512861482503362</v>
      </c>
      <c r="BG43">
        <v>0.18459826123560771</v>
      </c>
      <c r="BH43">
        <v>2.778571831878366E-2</v>
      </c>
      <c r="BI43">
        <v>2.1776313645172678</v>
      </c>
      <c r="BJ43">
        <v>0.49928291716394801</v>
      </c>
      <c r="BK43" t="s">
        <v>138</v>
      </c>
      <c r="BL43" t="s">
        <v>138</v>
      </c>
      <c r="BM43" t="s">
        <v>138</v>
      </c>
      <c r="BN43" t="s">
        <v>138</v>
      </c>
    </row>
    <row r="44" spans="1:66" x14ac:dyDescent="0.25">
      <c r="A44">
        <f>YEAR([1]chla!A44)</f>
        <v>2024</v>
      </c>
      <c r="B44">
        <f>MONTH([1]chla!A44)</f>
        <v>2</v>
      </c>
      <c r="C44">
        <f>DAY([1]chla!A44)</f>
        <v>8</v>
      </c>
      <c r="D44">
        <v>-64.532650000000004</v>
      </c>
      <c r="E44">
        <v>-48.495780000000003</v>
      </c>
      <c r="F44">
        <v>129.84483333333301</v>
      </c>
      <c r="G44">
        <v>9.8989719359672795E-2</v>
      </c>
      <c r="H44">
        <v>1.5769331844162598E-2</v>
      </c>
      <c r="I44">
        <v>5.9983773981101399E-2</v>
      </c>
      <c r="J44">
        <v>2.3236613534408701E-2</v>
      </c>
      <c r="K44" t="s">
        <v>22</v>
      </c>
      <c r="L44" t="s">
        <v>22</v>
      </c>
      <c r="M44" t="s">
        <v>138</v>
      </c>
      <c r="N44" t="s">
        <v>138</v>
      </c>
      <c r="O44" t="s">
        <v>138</v>
      </c>
      <c r="P44" t="s">
        <v>138</v>
      </c>
      <c r="Q44" t="s">
        <v>138</v>
      </c>
      <c r="R44" t="s">
        <v>138</v>
      </c>
      <c r="S44" t="s">
        <v>138</v>
      </c>
      <c r="T44" t="s">
        <v>138</v>
      </c>
      <c r="U44" t="s">
        <v>138</v>
      </c>
      <c r="V44" t="s">
        <v>138</v>
      </c>
      <c r="W44" t="s">
        <v>138</v>
      </c>
      <c r="X44" t="s">
        <v>138</v>
      </c>
      <c r="Y44" t="s">
        <v>138</v>
      </c>
      <c r="Z44" t="s">
        <v>138</v>
      </c>
      <c r="AA44" t="s">
        <v>138</v>
      </c>
      <c r="AB44" t="s">
        <v>138</v>
      </c>
      <c r="AC44" t="s">
        <v>138</v>
      </c>
      <c r="AD44" t="s">
        <v>138</v>
      </c>
      <c r="AE44" t="s">
        <v>138</v>
      </c>
      <c r="AF44" t="s">
        <v>138</v>
      </c>
      <c r="AG44" t="s">
        <v>138</v>
      </c>
      <c r="AH44" t="s">
        <v>138</v>
      </c>
      <c r="AI44" t="s">
        <v>138</v>
      </c>
      <c r="AJ44" t="s">
        <v>138</v>
      </c>
      <c r="AK44" t="s">
        <v>138</v>
      </c>
      <c r="AL44" t="s">
        <v>138</v>
      </c>
      <c r="AM44" t="s">
        <v>138</v>
      </c>
      <c r="AN44" t="s">
        <v>138</v>
      </c>
      <c r="AO44" t="s">
        <v>138</v>
      </c>
      <c r="AP44" t="s">
        <v>138</v>
      </c>
      <c r="AQ44" t="s">
        <v>138</v>
      </c>
      <c r="AR44" t="s">
        <v>138</v>
      </c>
      <c r="AS44" t="s">
        <v>138</v>
      </c>
      <c r="AT44" t="s">
        <v>138</v>
      </c>
      <c r="AU44" t="s">
        <v>138</v>
      </c>
      <c r="AV44" t="s">
        <v>138</v>
      </c>
      <c r="AW44" t="s">
        <v>138</v>
      </c>
      <c r="AX44" t="s">
        <v>138</v>
      </c>
      <c r="AY44" t="s">
        <v>138</v>
      </c>
      <c r="AZ44" t="s">
        <v>138</v>
      </c>
      <c r="BA44" t="s">
        <v>138</v>
      </c>
      <c r="BB44" t="s">
        <v>138</v>
      </c>
      <c r="BC44" t="s">
        <v>138</v>
      </c>
      <c r="BD44" t="s">
        <v>138</v>
      </c>
      <c r="BE44" t="s">
        <v>138</v>
      </c>
      <c r="BF44" t="s">
        <v>138</v>
      </c>
      <c r="BG44" t="s">
        <v>138</v>
      </c>
      <c r="BH44" t="s">
        <v>138</v>
      </c>
      <c r="BI44" t="s">
        <v>138</v>
      </c>
      <c r="BJ44" t="s">
        <v>138</v>
      </c>
      <c r="BK44" t="s">
        <v>138</v>
      </c>
      <c r="BL44" t="s">
        <v>138</v>
      </c>
      <c r="BM44" t="s">
        <v>138</v>
      </c>
      <c r="BN44" t="s">
        <v>138</v>
      </c>
    </row>
    <row r="45" spans="1:66" x14ac:dyDescent="0.25">
      <c r="A45">
        <f>YEAR([1]chla!A45)</f>
        <v>2024</v>
      </c>
      <c r="B45">
        <f>MONTH([1]chla!A45)</f>
        <v>2</v>
      </c>
      <c r="C45">
        <f>DAY([1]chla!A45)</f>
        <v>8</v>
      </c>
      <c r="D45">
        <v>-64.532650000000004</v>
      </c>
      <c r="E45">
        <v>-48.495780000000003</v>
      </c>
      <c r="F45">
        <v>84.359604651162797</v>
      </c>
      <c r="G45">
        <v>0.34427953294518099</v>
      </c>
      <c r="H45">
        <v>5.9347459514492003E-2</v>
      </c>
      <c r="I45">
        <v>0.20506347236804401</v>
      </c>
      <c r="J45">
        <v>7.9868601062645095E-2</v>
      </c>
      <c r="K45" t="s">
        <v>22</v>
      </c>
      <c r="L45" t="s">
        <v>22</v>
      </c>
      <c r="M45" t="s">
        <v>138</v>
      </c>
      <c r="N45" t="s">
        <v>138</v>
      </c>
      <c r="O45" t="s">
        <v>138</v>
      </c>
      <c r="P45" t="s">
        <v>138</v>
      </c>
      <c r="Q45" t="s">
        <v>138</v>
      </c>
      <c r="R45" t="s">
        <v>138</v>
      </c>
      <c r="S45" t="s">
        <v>138</v>
      </c>
      <c r="T45" t="s">
        <v>138</v>
      </c>
      <c r="U45" t="s">
        <v>138</v>
      </c>
      <c r="V45" t="s">
        <v>138</v>
      </c>
      <c r="W45" t="s">
        <v>138</v>
      </c>
      <c r="X45" t="s">
        <v>138</v>
      </c>
      <c r="Y45" t="s">
        <v>138</v>
      </c>
      <c r="Z45" t="s">
        <v>138</v>
      </c>
      <c r="AA45" t="s">
        <v>138</v>
      </c>
      <c r="AB45" t="s">
        <v>138</v>
      </c>
      <c r="AC45" t="s">
        <v>138</v>
      </c>
      <c r="AD45" t="s">
        <v>138</v>
      </c>
      <c r="AE45" t="s">
        <v>138</v>
      </c>
      <c r="AF45" t="s">
        <v>138</v>
      </c>
      <c r="AG45" t="s">
        <v>138</v>
      </c>
      <c r="AH45" t="s">
        <v>138</v>
      </c>
      <c r="AI45" t="s">
        <v>138</v>
      </c>
      <c r="AJ45" t="s">
        <v>138</v>
      </c>
      <c r="AK45" t="s">
        <v>138</v>
      </c>
      <c r="AL45" t="s">
        <v>138</v>
      </c>
      <c r="AM45" t="s">
        <v>138</v>
      </c>
      <c r="AN45" t="s">
        <v>138</v>
      </c>
      <c r="AO45" t="s">
        <v>138</v>
      </c>
      <c r="AP45" t="s">
        <v>138</v>
      </c>
      <c r="AQ45" t="s">
        <v>138</v>
      </c>
      <c r="AR45" t="s">
        <v>138</v>
      </c>
      <c r="AS45" t="s">
        <v>138</v>
      </c>
      <c r="AT45" t="s">
        <v>138</v>
      </c>
      <c r="AU45" t="s">
        <v>138</v>
      </c>
      <c r="AV45" t="s">
        <v>138</v>
      </c>
      <c r="AW45" t="s">
        <v>138</v>
      </c>
      <c r="AX45" t="s">
        <v>138</v>
      </c>
      <c r="AY45" t="s">
        <v>138</v>
      </c>
      <c r="AZ45" t="s">
        <v>138</v>
      </c>
      <c r="BA45" t="s">
        <v>138</v>
      </c>
      <c r="BB45" t="s">
        <v>138</v>
      </c>
      <c r="BC45" t="s">
        <v>138</v>
      </c>
      <c r="BD45" t="s">
        <v>138</v>
      </c>
      <c r="BE45" t="s">
        <v>138</v>
      </c>
      <c r="BF45" t="s">
        <v>138</v>
      </c>
      <c r="BG45" t="s">
        <v>138</v>
      </c>
      <c r="BH45" t="s">
        <v>138</v>
      </c>
      <c r="BI45" t="s">
        <v>138</v>
      </c>
      <c r="BJ45" t="s">
        <v>138</v>
      </c>
      <c r="BK45" t="s">
        <v>138</v>
      </c>
      <c r="BL45" t="s">
        <v>138</v>
      </c>
      <c r="BM45" t="s">
        <v>138</v>
      </c>
      <c r="BN45" t="s">
        <v>138</v>
      </c>
    </row>
    <row r="46" spans="1:66" x14ac:dyDescent="0.25">
      <c r="A46">
        <f>YEAR([1]chla!A46)</f>
        <v>2024</v>
      </c>
      <c r="B46">
        <f>MONTH([1]chla!A46)</f>
        <v>2</v>
      </c>
      <c r="C46">
        <f>DAY([1]chla!A46)</f>
        <v>8</v>
      </c>
      <c r="D46">
        <v>-64.532650000000004</v>
      </c>
      <c r="E46">
        <v>-48.495780000000003</v>
      </c>
      <c r="F46">
        <v>55.9548611111111</v>
      </c>
      <c r="G46">
        <v>0.24278737552098201</v>
      </c>
      <c r="H46">
        <v>6.3483503547453093E-2</v>
      </c>
      <c r="I46">
        <v>0.13141007285800599</v>
      </c>
      <c r="J46">
        <v>4.78937991155228E-2</v>
      </c>
      <c r="K46" t="s">
        <v>22</v>
      </c>
      <c r="L46" t="s">
        <v>22</v>
      </c>
      <c r="M46" t="s">
        <v>138</v>
      </c>
      <c r="N46" t="s">
        <v>138</v>
      </c>
      <c r="O46" t="s">
        <v>138</v>
      </c>
      <c r="P46" t="s">
        <v>138</v>
      </c>
      <c r="Q46" t="s">
        <v>138</v>
      </c>
      <c r="R46" t="s">
        <v>138</v>
      </c>
      <c r="S46" t="s">
        <v>138</v>
      </c>
      <c r="T46" t="s">
        <v>138</v>
      </c>
      <c r="U46" t="s">
        <v>138</v>
      </c>
      <c r="V46" t="s">
        <v>138</v>
      </c>
      <c r="W46" t="s">
        <v>138</v>
      </c>
      <c r="X46" t="s">
        <v>138</v>
      </c>
      <c r="Y46" t="s">
        <v>138</v>
      </c>
      <c r="Z46" t="s">
        <v>138</v>
      </c>
      <c r="AA46" t="s">
        <v>138</v>
      </c>
      <c r="AB46" t="s">
        <v>138</v>
      </c>
      <c r="AC46" t="s">
        <v>138</v>
      </c>
      <c r="AD46" t="s">
        <v>138</v>
      </c>
      <c r="AE46" t="s">
        <v>138</v>
      </c>
      <c r="AF46" t="s">
        <v>138</v>
      </c>
      <c r="AG46" t="s">
        <v>138</v>
      </c>
      <c r="AH46" t="s">
        <v>138</v>
      </c>
      <c r="AI46" t="s">
        <v>138</v>
      </c>
      <c r="AJ46" t="s">
        <v>138</v>
      </c>
      <c r="AK46" t="s">
        <v>138</v>
      </c>
      <c r="AL46" t="s">
        <v>138</v>
      </c>
      <c r="AM46" t="s">
        <v>138</v>
      </c>
      <c r="AN46" t="s">
        <v>138</v>
      </c>
      <c r="AO46" t="s">
        <v>138</v>
      </c>
      <c r="AP46" t="s">
        <v>138</v>
      </c>
      <c r="AQ46" t="s">
        <v>138</v>
      </c>
      <c r="AR46" t="s">
        <v>138</v>
      </c>
      <c r="AS46" t="s">
        <v>138</v>
      </c>
      <c r="AT46" t="s">
        <v>138</v>
      </c>
      <c r="AU46" t="s">
        <v>138</v>
      </c>
      <c r="AV46" t="s">
        <v>138</v>
      </c>
      <c r="AW46" t="s">
        <v>138</v>
      </c>
      <c r="AX46" t="s">
        <v>138</v>
      </c>
      <c r="AY46" t="s">
        <v>138</v>
      </c>
      <c r="AZ46" t="s">
        <v>138</v>
      </c>
      <c r="BA46" t="s">
        <v>138</v>
      </c>
      <c r="BB46" t="s">
        <v>138</v>
      </c>
      <c r="BC46" t="s">
        <v>138</v>
      </c>
      <c r="BD46" t="s">
        <v>138</v>
      </c>
      <c r="BE46" t="s">
        <v>138</v>
      </c>
      <c r="BF46" t="s">
        <v>138</v>
      </c>
      <c r="BG46" t="s">
        <v>138</v>
      </c>
      <c r="BH46" t="s">
        <v>138</v>
      </c>
      <c r="BI46" t="s">
        <v>138</v>
      </c>
      <c r="BJ46" t="s">
        <v>138</v>
      </c>
      <c r="BK46" t="s">
        <v>138</v>
      </c>
      <c r="BL46" t="s">
        <v>138</v>
      </c>
      <c r="BM46" t="s">
        <v>138</v>
      </c>
      <c r="BN46" t="s">
        <v>138</v>
      </c>
    </row>
    <row r="47" spans="1:66" x14ac:dyDescent="0.25">
      <c r="A47">
        <f>YEAR([1]chla!A47)</f>
        <v>2024</v>
      </c>
      <c r="B47">
        <f>MONTH([1]chla!A47)</f>
        <v>2</v>
      </c>
      <c r="C47">
        <f>DAY([1]chla!A47)</f>
        <v>8</v>
      </c>
      <c r="D47">
        <v>-64.532650000000004</v>
      </c>
      <c r="E47">
        <v>-48.495780000000003</v>
      </c>
      <c r="F47">
        <v>35.795761904761903</v>
      </c>
      <c r="G47">
        <v>0.22019821195634801</v>
      </c>
      <c r="H47">
        <v>6.1097324297667899E-2</v>
      </c>
      <c r="I47">
        <v>0.123933377875345</v>
      </c>
      <c r="J47">
        <v>3.5167509783334903E-2</v>
      </c>
      <c r="K47" t="s">
        <v>22</v>
      </c>
      <c r="L47" t="s">
        <v>22</v>
      </c>
      <c r="M47" t="s">
        <v>138</v>
      </c>
      <c r="N47" t="s">
        <v>138</v>
      </c>
      <c r="O47" t="s">
        <v>138</v>
      </c>
      <c r="P47" t="s">
        <v>138</v>
      </c>
      <c r="Q47" t="s">
        <v>138</v>
      </c>
      <c r="R47" t="s">
        <v>138</v>
      </c>
      <c r="S47" t="s">
        <v>138</v>
      </c>
      <c r="T47" t="s">
        <v>138</v>
      </c>
      <c r="U47" t="s">
        <v>138</v>
      </c>
      <c r="V47" t="s">
        <v>138</v>
      </c>
      <c r="W47" t="s">
        <v>138</v>
      </c>
      <c r="X47" t="s">
        <v>138</v>
      </c>
      <c r="Y47" t="s">
        <v>138</v>
      </c>
      <c r="Z47" t="s">
        <v>138</v>
      </c>
      <c r="AA47" t="s">
        <v>138</v>
      </c>
      <c r="AB47" t="s">
        <v>138</v>
      </c>
      <c r="AC47" t="s">
        <v>138</v>
      </c>
      <c r="AD47" t="s">
        <v>138</v>
      </c>
      <c r="AE47" t="s">
        <v>138</v>
      </c>
      <c r="AF47" t="s">
        <v>138</v>
      </c>
      <c r="AG47" t="s">
        <v>138</v>
      </c>
      <c r="AH47" t="s">
        <v>138</v>
      </c>
      <c r="AI47" t="s">
        <v>138</v>
      </c>
      <c r="AJ47" t="s">
        <v>138</v>
      </c>
      <c r="AK47" t="s">
        <v>138</v>
      </c>
      <c r="AL47" t="s">
        <v>138</v>
      </c>
      <c r="AM47" t="s">
        <v>138</v>
      </c>
      <c r="AN47" t="s">
        <v>138</v>
      </c>
      <c r="AO47" t="s">
        <v>138</v>
      </c>
      <c r="AP47" t="s">
        <v>138</v>
      </c>
      <c r="AQ47" t="s">
        <v>138</v>
      </c>
      <c r="AR47" t="s">
        <v>138</v>
      </c>
      <c r="AS47" t="s">
        <v>138</v>
      </c>
      <c r="AT47" t="s">
        <v>138</v>
      </c>
      <c r="AU47" t="s">
        <v>138</v>
      </c>
      <c r="AV47" t="s">
        <v>138</v>
      </c>
      <c r="AW47" t="s">
        <v>138</v>
      </c>
      <c r="AX47" t="s">
        <v>138</v>
      </c>
      <c r="AY47" t="s">
        <v>138</v>
      </c>
      <c r="AZ47" t="s">
        <v>138</v>
      </c>
      <c r="BA47" t="s">
        <v>138</v>
      </c>
      <c r="BB47" t="s">
        <v>138</v>
      </c>
      <c r="BC47" t="s">
        <v>138</v>
      </c>
      <c r="BD47" t="s">
        <v>138</v>
      </c>
      <c r="BE47" t="s">
        <v>138</v>
      </c>
      <c r="BF47" t="s">
        <v>138</v>
      </c>
      <c r="BG47" t="s">
        <v>138</v>
      </c>
      <c r="BH47" t="s">
        <v>138</v>
      </c>
      <c r="BI47" t="s">
        <v>138</v>
      </c>
      <c r="BJ47" t="s">
        <v>138</v>
      </c>
      <c r="BK47" t="s">
        <v>138</v>
      </c>
      <c r="BL47" t="s">
        <v>138</v>
      </c>
      <c r="BM47" t="s">
        <v>138</v>
      </c>
      <c r="BN47" t="s">
        <v>138</v>
      </c>
    </row>
    <row r="48" spans="1:66" x14ac:dyDescent="0.25">
      <c r="A48">
        <f>YEAR([1]chla!A48)</f>
        <v>2024</v>
      </c>
      <c r="B48">
        <f>MONTH([1]chla!A48)</f>
        <v>2</v>
      </c>
      <c r="C48">
        <f>DAY([1]chla!A48)</f>
        <v>8</v>
      </c>
      <c r="D48">
        <v>-64.532650000000004</v>
      </c>
      <c r="E48">
        <v>-48.495780000000003</v>
      </c>
      <c r="F48">
        <v>20.852808080808</v>
      </c>
      <c r="G48">
        <v>0.21860742578982501</v>
      </c>
      <c r="H48">
        <v>8.2732016162387401E-2</v>
      </c>
      <c r="I48">
        <v>0.1107298526932</v>
      </c>
      <c r="J48">
        <v>2.5145556934236899E-2</v>
      </c>
      <c r="K48" t="s">
        <v>22</v>
      </c>
      <c r="L48" t="s">
        <v>22</v>
      </c>
      <c r="M48" t="s">
        <v>138</v>
      </c>
      <c r="N48" t="s">
        <v>138</v>
      </c>
      <c r="O48" t="s">
        <v>138</v>
      </c>
      <c r="P48" t="s">
        <v>138</v>
      </c>
      <c r="Q48" t="s">
        <v>138</v>
      </c>
      <c r="R48" t="s">
        <v>138</v>
      </c>
      <c r="S48" t="s">
        <v>138</v>
      </c>
      <c r="T48" t="s">
        <v>138</v>
      </c>
      <c r="U48" t="s">
        <v>138</v>
      </c>
      <c r="V48" t="s">
        <v>138</v>
      </c>
      <c r="W48" t="s">
        <v>138</v>
      </c>
      <c r="X48" t="s">
        <v>138</v>
      </c>
      <c r="Y48" t="s">
        <v>138</v>
      </c>
      <c r="Z48" t="s">
        <v>138</v>
      </c>
      <c r="AA48" t="s">
        <v>138</v>
      </c>
      <c r="AB48" t="s">
        <v>138</v>
      </c>
      <c r="AC48" t="s">
        <v>138</v>
      </c>
      <c r="AD48" t="s">
        <v>138</v>
      </c>
      <c r="AE48" t="s">
        <v>138</v>
      </c>
      <c r="AF48" t="s">
        <v>138</v>
      </c>
      <c r="AG48" t="s">
        <v>138</v>
      </c>
      <c r="AH48" t="s">
        <v>138</v>
      </c>
      <c r="AI48" t="s">
        <v>138</v>
      </c>
      <c r="AJ48" t="s">
        <v>138</v>
      </c>
      <c r="AK48" t="s">
        <v>138</v>
      </c>
      <c r="AL48" t="s">
        <v>138</v>
      </c>
      <c r="AM48" t="s">
        <v>138</v>
      </c>
      <c r="AN48" t="s">
        <v>138</v>
      </c>
      <c r="AO48" t="s">
        <v>138</v>
      </c>
      <c r="AP48" t="s">
        <v>138</v>
      </c>
      <c r="AQ48" t="s">
        <v>138</v>
      </c>
      <c r="AR48" t="s">
        <v>138</v>
      </c>
      <c r="AS48" t="s">
        <v>138</v>
      </c>
      <c r="AT48" t="s">
        <v>138</v>
      </c>
      <c r="AU48" t="s">
        <v>138</v>
      </c>
      <c r="AV48" t="s">
        <v>138</v>
      </c>
      <c r="AW48" t="s">
        <v>138</v>
      </c>
      <c r="AX48" t="s">
        <v>138</v>
      </c>
      <c r="AY48" t="s">
        <v>138</v>
      </c>
      <c r="AZ48" t="s">
        <v>138</v>
      </c>
      <c r="BA48" t="s">
        <v>138</v>
      </c>
      <c r="BB48" t="s">
        <v>138</v>
      </c>
      <c r="BC48" t="s">
        <v>138</v>
      </c>
      <c r="BD48" t="s">
        <v>138</v>
      </c>
      <c r="BE48" t="s">
        <v>138</v>
      </c>
      <c r="BF48" t="s">
        <v>138</v>
      </c>
      <c r="BG48" t="s">
        <v>138</v>
      </c>
      <c r="BH48" t="s">
        <v>138</v>
      </c>
      <c r="BI48" t="s">
        <v>138</v>
      </c>
      <c r="BJ48" t="s">
        <v>138</v>
      </c>
      <c r="BK48" t="s">
        <v>138</v>
      </c>
      <c r="BL48" t="s">
        <v>138</v>
      </c>
      <c r="BM48" t="s">
        <v>138</v>
      </c>
      <c r="BN48" t="s">
        <v>138</v>
      </c>
    </row>
    <row r="49" spans="1:66" x14ac:dyDescent="0.25">
      <c r="A49">
        <f>YEAR([1]chla!A49)</f>
        <v>2024</v>
      </c>
      <c r="B49">
        <f>MONTH([1]chla!A49)</f>
        <v>2</v>
      </c>
      <c r="C49">
        <f>DAY([1]chla!A49)</f>
        <v>8</v>
      </c>
      <c r="D49">
        <v>-64.532650000000004</v>
      </c>
      <c r="E49">
        <v>-48.495780000000003</v>
      </c>
      <c r="F49">
        <v>0.76788541666666599</v>
      </c>
      <c r="G49">
        <v>0.183291972893003</v>
      </c>
      <c r="H49">
        <v>7.8595972129426303E-2</v>
      </c>
      <c r="I49">
        <v>8.4640959562215595E-2</v>
      </c>
      <c r="J49">
        <v>2.0055041201361701E-2</v>
      </c>
      <c r="K49" t="s">
        <v>22</v>
      </c>
      <c r="L49" t="s">
        <v>22</v>
      </c>
      <c r="M49" t="s">
        <v>196</v>
      </c>
      <c r="N49" t="s">
        <v>22</v>
      </c>
      <c r="O49" s="3">
        <v>45330</v>
      </c>
      <c r="P49" t="s">
        <v>109</v>
      </c>
      <c r="Q49">
        <v>-64.505243416666602</v>
      </c>
      <c r="R49">
        <v>-48.527917500000001</v>
      </c>
      <c r="S49" t="s">
        <v>110</v>
      </c>
      <c r="T49">
        <v>7</v>
      </c>
      <c r="U49">
        <v>1000</v>
      </c>
      <c r="V49" t="s">
        <v>111</v>
      </c>
      <c r="W49">
        <v>3.8819482013995141E-2</v>
      </c>
      <c r="X49">
        <v>1.035424817539148E-3</v>
      </c>
      <c r="Y49">
        <v>1.9502726724355511E-2</v>
      </c>
      <c r="Z49">
        <v>2.734182757479886E-3</v>
      </c>
      <c r="AA49">
        <v>6.7644766491575293E-4</v>
      </c>
      <c r="AB49">
        <v>5.2297698462553024E-3</v>
      </c>
      <c r="AC49">
        <v>1.579864905031648E-3</v>
      </c>
      <c r="AD49">
        <v>2.1500260899745289E-2</v>
      </c>
      <c r="AE49">
        <v>9.8527834817048132E-2</v>
      </c>
      <c r="AF49">
        <v>0.1200280957167934</v>
      </c>
      <c r="AG49">
        <v>8.896746549950732E-2</v>
      </c>
      <c r="AH49">
        <v>0.63164009806230281</v>
      </c>
      <c r="AI49">
        <v>0.29371743206671003</v>
      </c>
      <c r="AJ49">
        <v>7.4642469870987244E-2</v>
      </c>
      <c r="AK49">
        <v>7.5814558148786848E-2</v>
      </c>
      <c r="AL49">
        <v>3.5254344049793843E-2</v>
      </c>
      <c r="AM49">
        <v>8.9591935182127252E-3</v>
      </c>
      <c r="AN49">
        <v>0.12914437603251391</v>
      </c>
      <c r="AO49">
        <v>3.7627550131681127E-2</v>
      </c>
      <c r="AP49">
        <v>0.56595401337959073</v>
      </c>
      <c r="AQ49">
        <v>0.39641843648872832</v>
      </c>
      <c r="AR49">
        <v>4.5163631887938658E-3</v>
      </c>
      <c r="AS49">
        <v>6.7930382489228891E-2</v>
      </c>
      <c r="AT49">
        <v>4.7581350038770662E-2</v>
      </c>
      <c r="AU49">
        <v>0.1069495237996449</v>
      </c>
      <c r="AV49">
        <v>3.1379751540444329E-4</v>
      </c>
      <c r="AW49">
        <v>0.1024039139069427</v>
      </c>
      <c r="AX49">
        <v>0.25641757202439541</v>
      </c>
      <c r="AY49">
        <v>0.64117851406866211</v>
      </c>
      <c r="AZ49">
        <v>1.2291346780196791E-2</v>
      </c>
      <c r="BA49">
        <v>3.07773128784119E-2</v>
      </c>
      <c r="BB49">
        <v>7.6959436058184741E-2</v>
      </c>
      <c r="BC49">
        <v>8.3529513461131216E-2</v>
      </c>
      <c r="BD49">
        <v>3.0152440993124032E-3</v>
      </c>
      <c r="BE49">
        <v>0.10660690462753949</v>
      </c>
      <c r="BF49">
        <v>0.32487852004040568</v>
      </c>
      <c r="BG49">
        <v>0.56851457533205496</v>
      </c>
      <c r="BH49">
        <v>1.279582375270537E-2</v>
      </c>
      <c r="BI49">
        <v>3.8994550099739997E-2</v>
      </c>
      <c r="BJ49">
        <v>6.8237721864348053E-2</v>
      </c>
      <c r="BK49">
        <v>4.1411478148609691</v>
      </c>
      <c r="BL49">
        <v>0.13768204152371011</v>
      </c>
      <c r="BM49">
        <v>0.20843813449402809</v>
      </c>
      <c r="BN49">
        <v>0.21358860398603721</v>
      </c>
    </row>
    <row r="50" spans="1:66" x14ac:dyDescent="0.25">
      <c r="A50">
        <f>YEAR([1]chla!A50)</f>
        <v>2024</v>
      </c>
      <c r="B50">
        <f>MONTH([1]chla!A50)</f>
        <v>2</v>
      </c>
      <c r="C50">
        <f>DAY([1]chla!A50)</f>
        <v>9</v>
      </c>
      <c r="D50">
        <v>-64.528850000000006</v>
      </c>
      <c r="E50">
        <v>-49.705080000000002</v>
      </c>
      <c r="F50">
        <v>150.631925</v>
      </c>
      <c r="G50">
        <v>4.3216908949743699E-2</v>
      </c>
      <c r="H50">
        <v>2.6295906970632602E-3</v>
      </c>
      <c r="I50">
        <v>3.13496229836785E-2</v>
      </c>
      <c r="J50">
        <v>9.2376952690019394E-3</v>
      </c>
      <c r="K50" t="s">
        <v>23</v>
      </c>
      <c r="L50" t="s">
        <v>24</v>
      </c>
      <c r="M50" t="s">
        <v>138</v>
      </c>
      <c r="N50" t="s">
        <v>138</v>
      </c>
      <c r="O50" t="s">
        <v>138</v>
      </c>
      <c r="P50" t="s">
        <v>138</v>
      </c>
      <c r="Q50" t="s">
        <v>138</v>
      </c>
      <c r="R50" t="s">
        <v>138</v>
      </c>
      <c r="S50" t="s">
        <v>138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138</v>
      </c>
      <c r="Z50" t="s">
        <v>138</v>
      </c>
      <c r="AA50" t="s">
        <v>138</v>
      </c>
      <c r="AB50" t="s">
        <v>138</v>
      </c>
      <c r="AC50" t="s">
        <v>138</v>
      </c>
      <c r="AD50" t="s">
        <v>138</v>
      </c>
      <c r="AE50" t="s">
        <v>138</v>
      </c>
      <c r="AF50" t="s">
        <v>138</v>
      </c>
      <c r="AG50" t="s">
        <v>138</v>
      </c>
      <c r="AH50" t="s">
        <v>138</v>
      </c>
      <c r="AI50" t="s">
        <v>138</v>
      </c>
      <c r="AJ50" t="s">
        <v>138</v>
      </c>
      <c r="AK50" t="s">
        <v>138</v>
      </c>
      <c r="AL50" t="s">
        <v>138</v>
      </c>
      <c r="AM50" t="s">
        <v>138</v>
      </c>
      <c r="AN50" t="s">
        <v>138</v>
      </c>
      <c r="AO50" t="s">
        <v>138</v>
      </c>
      <c r="AP50" t="s">
        <v>138</v>
      </c>
      <c r="AQ50" t="s">
        <v>138</v>
      </c>
      <c r="AR50" t="s">
        <v>138</v>
      </c>
      <c r="AS50" t="s">
        <v>138</v>
      </c>
      <c r="AT50" t="s">
        <v>138</v>
      </c>
      <c r="AU50" t="s">
        <v>138</v>
      </c>
      <c r="AV50" t="s">
        <v>138</v>
      </c>
      <c r="AW50" t="s">
        <v>138</v>
      </c>
      <c r="AX50" t="s">
        <v>138</v>
      </c>
      <c r="AY50" t="s">
        <v>138</v>
      </c>
      <c r="AZ50" t="s">
        <v>138</v>
      </c>
      <c r="BA50" t="s">
        <v>138</v>
      </c>
      <c r="BB50" t="s">
        <v>138</v>
      </c>
      <c r="BC50" t="s">
        <v>138</v>
      </c>
      <c r="BD50" t="s">
        <v>138</v>
      </c>
      <c r="BE50" t="s">
        <v>138</v>
      </c>
      <c r="BF50" t="s">
        <v>138</v>
      </c>
      <c r="BG50" t="s">
        <v>138</v>
      </c>
      <c r="BH50" t="s">
        <v>138</v>
      </c>
      <c r="BI50" t="s">
        <v>138</v>
      </c>
      <c r="BJ50" t="s">
        <v>138</v>
      </c>
      <c r="BK50" t="s">
        <v>138</v>
      </c>
      <c r="BL50" t="s">
        <v>138</v>
      </c>
      <c r="BM50" t="s">
        <v>138</v>
      </c>
      <c r="BN50" t="s">
        <v>138</v>
      </c>
    </row>
    <row r="51" spans="1:66" x14ac:dyDescent="0.25">
      <c r="A51">
        <f>YEAR([1]chla!A51)</f>
        <v>2024</v>
      </c>
      <c r="B51">
        <f>MONTH([1]chla!A51)</f>
        <v>2</v>
      </c>
      <c r="C51">
        <f>DAY([1]chla!A51)</f>
        <v>9</v>
      </c>
      <c r="D51">
        <v>-64.528850000000006</v>
      </c>
      <c r="E51">
        <v>-49.705080000000002</v>
      </c>
      <c r="F51">
        <v>99.979609756097503</v>
      </c>
      <c r="G51">
        <v>0.22099360503960999</v>
      </c>
      <c r="H51">
        <v>3.8190003499729501E-2</v>
      </c>
      <c r="I51">
        <v>0.13554611689096699</v>
      </c>
      <c r="J51">
        <v>4.7257484648913398E-2</v>
      </c>
      <c r="K51" t="s">
        <v>23</v>
      </c>
      <c r="L51" t="s">
        <v>24</v>
      </c>
      <c r="M51" t="s">
        <v>195</v>
      </c>
      <c r="N51" t="s">
        <v>23</v>
      </c>
      <c r="O51" s="3">
        <v>45331</v>
      </c>
      <c r="P51" t="s">
        <v>112</v>
      </c>
      <c r="Q51">
        <v>-64.531433533333299</v>
      </c>
      <c r="R51">
        <v>-49.607163149999998</v>
      </c>
      <c r="S51" t="s">
        <v>113</v>
      </c>
      <c r="T51">
        <v>85</v>
      </c>
      <c r="U51">
        <v>1000</v>
      </c>
      <c r="V51" s="4" t="s">
        <v>103</v>
      </c>
      <c r="W51">
        <v>6.4122923760538783E-2</v>
      </c>
      <c r="X51">
        <v>3.0385271862579909E-3</v>
      </c>
      <c r="Y51">
        <v>5.4027937876548637E-2</v>
      </c>
      <c r="Z51">
        <v>2.9288191222014041E-2</v>
      </c>
      <c r="AA51">
        <v>3.0492065378592082E-3</v>
      </c>
      <c r="AB51">
        <v>7.3846397714821835E-2</v>
      </c>
      <c r="AC51">
        <v>1.151856900141614E-3</v>
      </c>
      <c r="AD51">
        <v>2.1068392299271699E-2</v>
      </c>
      <c r="AE51">
        <v>0.26217872834910899</v>
      </c>
      <c r="AF51">
        <v>0.2832471206483807</v>
      </c>
      <c r="AG51">
        <v>0.2509689764147125</v>
      </c>
      <c r="AH51">
        <v>0.37732809524034872</v>
      </c>
      <c r="AI51">
        <v>0.32153723980724891</v>
      </c>
      <c r="AJ51">
        <v>0.30113466495240249</v>
      </c>
      <c r="AK51">
        <v>0.1068770965165667</v>
      </c>
      <c r="AL51">
        <v>9.1074497356631146E-2</v>
      </c>
      <c r="AM51">
        <v>8.5295526775182845E-2</v>
      </c>
      <c r="AN51">
        <v>0.29823356369116549</v>
      </c>
      <c r="AO51">
        <v>0.1222485791436141</v>
      </c>
      <c r="AP51">
        <v>0.59272735097739615</v>
      </c>
      <c r="AQ51">
        <v>0.28502406987898982</v>
      </c>
      <c r="AR51">
        <v>3.4626558045784371E-2</v>
      </c>
      <c r="AS51">
        <v>0.16788831549388961</v>
      </c>
      <c r="AT51">
        <v>8.0732247108706717E-2</v>
      </c>
      <c r="AU51">
        <v>0.33730671942064011</v>
      </c>
      <c r="AV51">
        <v>6.7371320704560618E-3</v>
      </c>
      <c r="AW51">
        <v>0.39324600273709681</v>
      </c>
      <c r="AX51">
        <v>0.29703636387779281</v>
      </c>
      <c r="AY51">
        <v>0.30971763338511038</v>
      </c>
      <c r="AZ51">
        <v>0.1113857979817679</v>
      </c>
      <c r="BA51">
        <v>8.4134694796249479E-2</v>
      </c>
      <c r="BB51">
        <v>8.7726627870363297E-2</v>
      </c>
      <c r="BC51">
        <v>0.26836459950150182</v>
      </c>
      <c r="BD51">
        <v>2.774676443116085E-2</v>
      </c>
      <c r="BE51">
        <v>0.36605496834932211</v>
      </c>
      <c r="BF51">
        <v>0.44742986921620048</v>
      </c>
      <c r="BG51">
        <v>0.18651516243447741</v>
      </c>
      <c r="BH51">
        <v>0.10368401578397959</v>
      </c>
      <c r="BI51">
        <v>0.1267332221475703</v>
      </c>
      <c r="BJ51">
        <v>5.2829882716830763E-2</v>
      </c>
      <c r="BK51" t="s">
        <v>138</v>
      </c>
      <c r="BL51" t="s">
        <v>138</v>
      </c>
      <c r="BM51" t="s">
        <v>138</v>
      </c>
      <c r="BN51" t="s">
        <v>138</v>
      </c>
    </row>
    <row r="52" spans="1:66" x14ac:dyDescent="0.25">
      <c r="A52">
        <f>YEAR([1]chla!A52)</f>
        <v>2024</v>
      </c>
      <c r="B52">
        <f>MONTH([1]chla!A52)</f>
        <v>2</v>
      </c>
      <c r="C52">
        <f>DAY([1]chla!A52)</f>
        <v>9</v>
      </c>
      <c r="D52">
        <v>-64.528850000000006</v>
      </c>
      <c r="E52">
        <v>-49.705080000000002</v>
      </c>
      <c r="F52">
        <v>65.536923076923003</v>
      </c>
      <c r="G52">
        <v>0.22290254843943799</v>
      </c>
      <c r="H52">
        <v>4.6143934332347002E-2</v>
      </c>
      <c r="I52">
        <v>0.100866978460755</v>
      </c>
      <c r="J52">
        <v>7.58916356463364E-2</v>
      </c>
      <c r="K52" t="s">
        <v>23</v>
      </c>
      <c r="L52" t="s">
        <v>25</v>
      </c>
      <c r="M52" t="s">
        <v>138</v>
      </c>
      <c r="N52" t="s">
        <v>138</v>
      </c>
      <c r="O52" t="s">
        <v>138</v>
      </c>
      <c r="P52" t="s">
        <v>138</v>
      </c>
      <c r="Q52" t="s">
        <v>138</v>
      </c>
      <c r="R52" t="s">
        <v>138</v>
      </c>
      <c r="S52" t="s">
        <v>138</v>
      </c>
      <c r="T52" t="s">
        <v>138</v>
      </c>
      <c r="U52" t="s">
        <v>138</v>
      </c>
      <c r="V52" t="s">
        <v>138</v>
      </c>
      <c r="W52" t="s">
        <v>138</v>
      </c>
      <c r="X52" t="s">
        <v>138</v>
      </c>
      <c r="Y52" t="s">
        <v>138</v>
      </c>
      <c r="Z52" t="s">
        <v>138</v>
      </c>
      <c r="AA52" t="s">
        <v>138</v>
      </c>
      <c r="AB52" t="s">
        <v>138</v>
      </c>
      <c r="AC52" t="s">
        <v>138</v>
      </c>
      <c r="AD52" t="s">
        <v>138</v>
      </c>
      <c r="AE52" t="s">
        <v>138</v>
      </c>
      <c r="AF52" t="s">
        <v>138</v>
      </c>
      <c r="AG52" t="s">
        <v>138</v>
      </c>
      <c r="AH52" t="s">
        <v>138</v>
      </c>
      <c r="AI52" t="s">
        <v>138</v>
      </c>
      <c r="AJ52" t="s">
        <v>138</v>
      </c>
      <c r="AK52" t="s">
        <v>138</v>
      </c>
      <c r="AL52" t="s">
        <v>138</v>
      </c>
      <c r="AM52" t="s">
        <v>138</v>
      </c>
      <c r="AN52" t="s">
        <v>138</v>
      </c>
      <c r="AO52" t="s">
        <v>138</v>
      </c>
      <c r="AP52" t="s">
        <v>138</v>
      </c>
      <c r="AQ52" t="s">
        <v>138</v>
      </c>
      <c r="AR52" t="s">
        <v>138</v>
      </c>
      <c r="AS52" t="s">
        <v>138</v>
      </c>
      <c r="AT52" t="s">
        <v>138</v>
      </c>
      <c r="AU52" t="s">
        <v>138</v>
      </c>
      <c r="AV52" t="s">
        <v>138</v>
      </c>
      <c r="AW52" t="s">
        <v>138</v>
      </c>
      <c r="AX52" t="s">
        <v>138</v>
      </c>
      <c r="AY52" t="s">
        <v>138</v>
      </c>
      <c r="AZ52" t="s">
        <v>138</v>
      </c>
      <c r="BA52" t="s">
        <v>138</v>
      </c>
      <c r="BB52" t="s">
        <v>138</v>
      </c>
      <c r="BC52" t="s">
        <v>138</v>
      </c>
      <c r="BD52" t="s">
        <v>138</v>
      </c>
      <c r="BE52" t="s">
        <v>138</v>
      </c>
      <c r="BF52" t="s">
        <v>138</v>
      </c>
      <c r="BG52" t="s">
        <v>138</v>
      </c>
      <c r="BH52" t="s">
        <v>138</v>
      </c>
      <c r="BI52" t="s">
        <v>138</v>
      </c>
      <c r="BJ52" t="s">
        <v>138</v>
      </c>
      <c r="BK52" t="s">
        <v>138</v>
      </c>
      <c r="BL52" t="s">
        <v>138</v>
      </c>
      <c r="BM52" t="s">
        <v>138</v>
      </c>
      <c r="BN52" t="s">
        <v>138</v>
      </c>
    </row>
    <row r="53" spans="1:66" x14ac:dyDescent="0.25">
      <c r="A53">
        <f>YEAR([1]chla!A53)</f>
        <v>2024</v>
      </c>
      <c r="B53">
        <f>MONTH([1]chla!A53)</f>
        <v>2</v>
      </c>
      <c r="C53">
        <f>DAY([1]chla!A53)</f>
        <v>9</v>
      </c>
      <c r="D53">
        <v>-64.528850000000006</v>
      </c>
      <c r="E53">
        <v>-49.705080000000002</v>
      </c>
      <c r="F53">
        <v>41.306153846153798</v>
      </c>
      <c r="G53">
        <v>0.175974356526995</v>
      </c>
      <c r="H53">
        <v>4.2962361999300001E-2</v>
      </c>
      <c r="I53">
        <v>8.8617924978524304E-2</v>
      </c>
      <c r="J53">
        <v>4.4394069549171203E-2</v>
      </c>
      <c r="K53" t="s">
        <v>23</v>
      </c>
      <c r="L53" t="s">
        <v>25</v>
      </c>
      <c r="M53" t="s">
        <v>138</v>
      </c>
      <c r="N53" t="s">
        <v>138</v>
      </c>
      <c r="O53" s="3" t="s">
        <v>138</v>
      </c>
      <c r="P53" t="s">
        <v>138</v>
      </c>
      <c r="Q53" t="s">
        <v>138</v>
      </c>
      <c r="R53" t="s">
        <v>138</v>
      </c>
      <c r="S53" t="s">
        <v>138</v>
      </c>
      <c r="T53" t="s">
        <v>138</v>
      </c>
      <c r="U53" t="s">
        <v>138</v>
      </c>
      <c r="V53" t="s">
        <v>138</v>
      </c>
      <c r="W53" t="s">
        <v>138</v>
      </c>
      <c r="X53" t="s">
        <v>138</v>
      </c>
      <c r="Y53" t="s">
        <v>138</v>
      </c>
      <c r="Z53" t="s">
        <v>138</v>
      </c>
      <c r="AA53" t="s">
        <v>138</v>
      </c>
      <c r="AB53" t="s">
        <v>138</v>
      </c>
      <c r="AC53" t="s">
        <v>138</v>
      </c>
      <c r="AD53" t="s">
        <v>138</v>
      </c>
      <c r="AE53" t="s">
        <v>138</v>
      </c>
      <c r="AF53" t="s">
        <v>138</v>
      </c>
      <c r="AG53" t="s">
        <v>138</v>
      </c>
      <c r="AH53" t="s">
        <v>138</v>
      </c>
      <c r="AI53" t="s">
        <v>138</v>
      </c>
      <c r="AJ53" t="s">
        <v>138</v>
      </c>
      <c r="AK53" t="s">
        <v>138</v>
      </c>
      <c r="AL53" t="s">
        <v>138</v>
      </c>
      <c r="AM53" t="s">
        <v>138</v>
      </c>
      <c r="AN53" t="s">
        <v>138</v>
      </c>
      <c r="AO53" t="s">
        <v>138</v>
      </c>
      <c r="AP53" t="s">
        <v>138</v>
      </c>
      <c r="AQ53" t="s">
        <v>138</v>
      </c>
      <c r="AR53" t="s">
        <v>138</v>
      </c>
      <c r="AS53" t="s">
        <v>138</v>
      </c>
      <c r="AT53" t="s">
        <v>138</v>
      </c>
      <c r="AU53" t="s">
        <v>138</v>
      </c>
      <c r="AV53" t="s">
        <v>138</v>
      </c>
      <c r="AW53" t="s">
        <v>138</v>
      </c>
      <c r="AX53" t="s">
        <v>138</v>
      </c>
      <c r="AY53" t="s">
        <v>138</v>
      </c>
      <c r="AZ53" t="s">
        <v>138</v>
      </c>
      <c r="BA53" t="s">
        <v>138</v>
      </c>
      <c r="BB53" t="s">
        <v>138</v>
      </c>
      <c r="BC53" t="s">
        <v>138</v>
      </c>
      <c r="BD53" t="s">
        <v>138</v>
      </c>
      <c r="BE53" t="s">
        <v>138</v>
      </c>
      <c r="BF53" t="s">
        <v>138</v>
      </c>
      <c r="BG53" t="s">
        <v>138</v>
      </c>
      <c r="BH53" t="s">
        <v>138</v>
      </c>
      <c r="BI53" t="s">
        <v>138</v>
      </c>
      <c r="BJ53" t="s">
        <v>138</v>
      </c>
      <c r="BK53" t="s">
        <v>138</v>
      </c>
      <c r="BL53" t="s">
        <v>138</v>
      </c>
      <c r="BM53" t="s">
        <v>138</v>
      </c>
      <c r="BN53" t="s">
        <v>138</v>
      </c>
    </row>
    <row r="54" spans="1:66" x14ac:dyDescent="0.25">
      <c r="A54">
        <f>YEAR([1]chla!A54)</f>
        <v>2024</v>
      </c>
      <c r="B54">
        <f>MONTH([1]chla!A54)</f>
        <v>2</v>
      </c>
      <c r="C54">
        <f>DAY([1]chla!A54)</f>
        <v>9</v>
      </c>
      <c r="D54">
        <v>-64.528850000000006</v>
      </c>
      <c r="E54">
        <v>-49.705080000000002</v>
      </c>
      <c r="F54">
        <v>23.0249358974358</v>
      </c>
      <c r="G54">
        <v>0.163248067194807</v>
      </c>
      <c r="H54">
        <v>3.6440138716553702E-2</v>
      </c>
      <c r="I54">
        <v>9.6094619961184805E-2</v>
      </c>
      <c r="J54">
        <v>3.0713308517069101E-2</v>
      </c>
      <c r="K54" t="s">
        <v>23</v>
      </c>
      <c r="L54" t="s">
        <v>25</v>
      </c>
      <c r="M54" t="s">
        <v>195</v>
      </c>
      <c r="N54" t="s">
        <v>23</v>
      </c>
      <c r="O54" s="3">
        <v>45331</v>
      </c>
      <c r="P54" t="s">
        <v>112</v>
      </c>
      <c r="Q54">
        <v>-64.531433533333299</v>
      </c>
      <c r="R54">
        <v>-49.607163149999998</v>
      </c>
      <c r="S54" t="s">
        <v>114</v>
      </c>
      <c r="T54">
        <v>20</v>
      </c>
      <c r="U54">
        <v>1000</v>
      </c>
      <c r="V54" s="4" t="s">
        <v>103</v>
      </c>
      <c r="W54">
        <v>4.890146725477456E-2</v>
      </c>
      <c r="X54">
        <v>1.7083310548023809E-3</v>
      </c>
      <c r="Y54">
        <v>2.85592918759894E-2</v>
      </c>
      <c r="Z54">
        <v>5.1214170190967854E-3</v>
      </c>
      <c r="AA54">
        <v>2.851246959309218E-3</v>
      </c>
      <c r="AB54">
        <v>9.9894765603905922E-3</v>
      </c>
      <c r="AC54">
        <v>2.659511733926171E-3</v>
      </c>
      <c r="AD54">
        <v>4.7747329372055607E-2</v>
      </c>
      <c r="AE54">
        <v>0.13142889200066379</v>
      </c>
      <c r="AF54">
        <v>0.17917622137271941</v>
      </c>
      <c r="AG54">
        <v>0.12350991184845039</v>
      </c>
      <c r="AH54">
        <v>0.57776590193071842</v>
      </c>
      <c r="AI54">
        <v>0.32202714923462178</v>
      </c>
      <c r="AJ54">
        <v>0.10020694883465971</v>
      </c>
      <c r="AK54">
        <v>0.1035219111459473</v>
      </c>
      <c r="AL54">
        <v>5.7699607779288349E-2</v>
      </c>
      <c r="AM54">
        <v>1.7954702447483751E-2</v>
      </c>
      <c r="AN54">
        <v>0.17618328290687049</v>
      </c>
      <c r="AO54">
        <v>4.9593308030081128E-2</v>
      </c>
      <c r="AP54">
        <v>0.58360304133071661</v>
      </c>
      <c r="AQ54">
        <v>0.36680365063920217</v>
      </c>
      <c r="AR54">
        <v>8.8859415382032785E-3</v>
      </c>
      <c r="AS54">
        <v>0.1045677877272648</v>
      </c>
      <c r="AT54">
        <v>6.5722492107251312E-2</v>
      </c>
      <c r="AU54">
        <v>0.1514808726425001</v>
      </c>
      <c r="AV54">
        <v>7.3143252367978092E-4</v>
      </c>
      <c r="AW54">
        <v>0.13564194688309231</v>
      </c>
      <c r="AX54">
        <v>0.29390633780799907</v>
      </c>
      <c r="AY54">
        <v>0.5704517153089087</v>
      </c>
      <c r="AZ54">
        <v>2.43038115021516E-2</v>
      </c>
      <c r="BA54">
        <v>5.2661027045931313E-2</v>
      </c>
      <c r="BB54">
        <v>0.1022113828246365</v>
      </c>
      <c r="BC54">
        <v>0.1195621030433561</v>
      </c>
      <c r="BD54">
        <v>5.547931705297585E-3</v>
      </c>
      <c r="BE54">
        <v>0.13836808760562369</v>
      </c>
      <c r="BF54">
        <v>0.37724617477324102</v>
      </c>
      <c r="BG54">
        <v>0.4843857376211354</v>
      </c>
      <c r="BH54">
        <v>2.4792271095745059E-2</v>
      </c>
      <c r="BI54">
        <v>6.7593544123181831E-2</v>
      </c>
      <c r="BJ54">
        <v>8.6790406153792535E-2</v>
      </c>
      <c r="BK54" t="s">
        <v>138</v>
      </c>
      <c r="BL54" t="s">
        <v>138</v>
      </c>
      <c r="BM54" t="s">
        <v>138</v>
      </c>
      <c r="BN54" t="s">
        <v>138</v>
      </c>
    </row>
    <row r="55" spans="1:66" x14ac:dyDescent="0.25">
      <c r="A55">
        <f>YEAR([1]chla!A55)</f>
        <v>2024</v>
      </c>
      <c r="B55">
        <f>MONTH([1]chla!A55)</f>
        <v>2</v>
      </c>
      <c r="C55">
        <f>DAY([1]chla!A55)</f>
        <v>9</v>
      </c>
      <c r="D55">
        <v>-64.528850000000006</v>
      </c>
      <c r="E55">
        <v>-49.705080000000002</v>
      </c>
      <c r="F55">
        <v>3.0039687499999999</v>
      </c>
      <c r="G55">
        <v>0.153703350195666</v>
      </c>
      <c r="H55">
        <v>3.8667239349686598E-2</v>
      </c>
      <c r="I55">
        <v>9.4185676561356596E-2</v>
      </c>
      <c r="J55">
        <v>2.0850434284623399E-2</v>
      </c>
      <c r="K55" t="s">
        <v>23</v>
      </c>
      <c r="L55" t="s">
        <v>25</v>
      </c>
      <c r="M55" t="s">
        <v>197</v>
      </c>
      <c r="N55" t="s">
        <v>23</v>
      </c>
      <c r="O55" s="3" t="s">
        <v>138</v>
      </c>
      <c r="P55" t="s">
        <v>138</v>
      </c>
      <c r="Q55" t="s">
        <v>138</v>
      </c>
      <c r="R55" t="s">
        <v>138</v>
      </c>
      <c r="S55" t="s">
        <v>138</v>
      </c>
      <c r="T55">
        <v>7</v>
      </c>
      <c r="U55" t="s">
        <v>138</v>
      </c>
      <c r="V55" t="s">
        <v>111</v>
      </c>
      <c r="W55">
        <v>5.67E-2</v>
      </c>
      <c r="X55">
        <v>0</v>
      </c>
      <c r="Y55">
        <v>4.0000000000000001E-3</v>
      </c>
      <c r="Z55">
        <v>4.8999999999999998E-3</v>
      </c>
      <c r="AA55">
        <v>2.5000000000000001E-3</v>
      </c>
      <c r="AB55">
        <v>8.0000000000000002E-3</v>
      </c>
      <c r="AC55">
        <v>0</v>
      </c>
      <c r="AD55" t="s">
        <v>138</v>
      </c>
      <c r="AE55" t="s">
        <v>138</v>
      </c>
      <c r="AF55">
        <v>0.12230000000000001</v>
      </c>
      <c r="AG55">
        <v>9.6321999999999991E-2</v>
      </c>
      <c r="AH55">
        <v>0.82999730072049993</v>
      </c>
      <c r="AI55">
        <v>8.6117397894562006E-2</v>
      </c>
      <c r="AJ55">
        <v>8.3885301384938035E-2</v>
      </c>
      <c r="AK55">
        <v>0.1015086698781171</v>
      </c>
      <c r="AL55">
        <v>1.0532157762504929E-2</v>
      </c>
      <c r="AM55">
        <v>1.025917235937792E-2</v>
      </c>
      <c r="AN55">
        <v>0.166154</v>
      </c>
      <c r="AO55">
        <v>2.262960867628826E-2</v>
      </c>
      <c r="AP55">
        <v>0.53033330524693956</v>
      </c>
      <c r="AQ55">
        <v>0.44703708607677223</v>
      </c>
      <c r="AR55">
        <v>2.7676011411100539E-3</v>
      </c>
      <c r="AS55">
        <v>6.4859763231700715E-2</v>
      </c>
      <c r="AT55">
        <v>5.4672635627189242E-2</v>
      </c>
      <c r="AU55">
        <v>0.12495299999999999</v>
      </c>
      <c r="AV55">
        <v>3.7780356368162071E-4</v>
      </c>
      <c r="AW55">
        <v>0.1139628500316119</v>
      </c>
      <c r="AX55">
        <v>0.1017372788232857</v>
      </c>
      <c r="AY55">
        <v>0.78429987114510225</v>
      </c>
      <c r="AZ55">
        <v>1.393765655886613E-2</v>
      </c>
      <c r="BA55">
        <v>1.244246920008784E-2</v>
      </c>
      <c r="BB55">
        <v>9.5919874241046005E-2</v>
      </c>
      <c r="BC55">
        <v>9.6287999999999999E-2</v>
      </c>
      <c r="BD55">
        <v>3.6064396264776939E-3</v>
      </c>
      <c r="BE55">
        <v>0.1088401462279827</v>
      </c>
      <c r="BF55">
        <v>0.17433503151401011</v>
      </c>
      <c r="BG55">
        <v>0.71682482225800714</v>
      </c>
      <c r="BH55">
        <v>1.331114988368229E-2</v>
      </c>
      <c r="BI55">
        <v>2.132117435416343E-2</v>
      </c>
      <c r="BJ55">
        <v>8.7667675762154285E-2</v>
      </c>
      <c r="BK55" t="s">
        <v>138</v>
      </c>
      <c r="BL55" t="s">
        <v>138</v>
      </c>
      <c r="BM55" t="s">
        <v>138</v>
      </c>
      <c r="BN55" t="s">
        <v>138</v>
      </c>
    </row>
    <row r="56" spans="1:66" x14ac:dyDescent="0.25">
      <c r="A56">
        <f>YEAR([1]chla!A56)</f>
        <v>2024</v>
      </c>
      <c r="B56">
        <f>MONTH([1]chla!A56)</f>
        <v>2</v>
      </c>
      <c r="C56">
        <f>DAY([1]chla!A56)</f>
        <v>10</v>
      </c>
      <c r="D56">
        <v>-64.520269999999996</v>
      </c>
      <c r="E56">
        <v>-50.952240000000003</v>
      </c>
      <c r="F56">
        <v>200.98484615384601</v>
      </c>
      <c r="G56">
        <v>1.26366349129386E-2</v>
      </c>
      <c r="H56">
        <v>1.4978145544257699E-3</v>
      </c>
      <c r="I56">
        <v>6.8222088330504799E-3</v>
      </c>
      <c r="J56">
        <v>4.3166115254623799E-3</v>
      </c>
      <c r="K56" t="s">
        <v>26</v>
      </c>
      <c r="L56" t="s">
        <v>26</v>
      </c>
      <c r="M56" t="s">
        <v>138</v>
      </c>
      <c r="N56" t="s">
        <v>138</v>
      </c>
      <c r="O56" s="3" t="s">
        <v>138</v>
      </c>
      <c r="P56" t="s">
        <v>138</v>
      </c>
      <c r="Q56" t="s">
        <v>138</v>
      </c>
      <c r="R56" t="s">
        <v>138</v>
      </c>
      <c r="S56" t="s">
        <v>138</v>
      </c>
      <c r="T56" t="s">
        <v>138</v>
      </c>
      <c r="U56" t="s">
        <v>138</v>
      </c>
      <c r="V56" t="s">
        <v>138</v>
      </c>
      <c r="W56" t="s">
        <v>138</v>
      </c>
      <c r="X56" t="s">
        <v>138</v>
      </c>
      <c r="Y56" t="s">
        <v>138</v>
      </c>
      <c r="Z56" t="s">
        <v>138</v>
      </c>
      <c r="AA56" t="s">
        <v>138</v>
      </c>
      <c r="AB56" t="s">
        <v>138</v>
      </c>
      <c r="AC56" t="s">
        <v>138</v>
      </c>
      <c r="AD56" t="s">
        <v>138</v>
      </c>
      <c r="AE56" t="s">
        <v>138</v>
      </c>
      <c r="AF56" t="s">
        <v>138</v>
      </c>
      <c r="AG56" t="s">
        <v>138</v>
      </c>
      <c r="AH56" t="s">
        <v>138</v>
      </c>
      <c r="AI56" t="s">
        <v>138</v>
      </c>
      <c r="AJ56" t="s">
        <v>138</v>
      </c>
      <c r="AK56" t="s">
        <v>138</v>
      </c>
      <c r="AL56" t="s">
        <v>138</v>
      </c>
      <c r="AM56" t="s">
        <v>138</v>
      </c>
      <c r="AN56" t="s">
        <v>138</v>
      </c>
      <c r="AO56" t="s">
        <v>138</v>
      </c>
      <c r="AP56" t="s">
        <v>138</v>
      </c>
      <c r="AQ56" t="s">
        <v>138</v>
      </c>
      <c r="AR56" t="s">
        <v>138</v>
      </c>
      <c r="AS56" t="s">
        <v>138</v>
      </c>
      <c r="AT56" t="s">
        <v>138</v>
      </c>
      <c r="AU56" t="s">
        <v>138</v>
      </c>
      <c r="AV56" t="s">
        <v>138</v>
      </c>
      <c r="AW56" t="s">
        <v>138</v>
      </c>
      <c r="AX56" t="s">
        <v>138</v>
      </c>
      <c r="AY56" t="s">
        <v>138</v>
      </c>
      <c r="AZ56" t="s">
        <v>138</v>
      </c>
      <c r="BA56" t="s">
        <v>138</v>
      </c>
      <c r="BB56" t="s">
        <v>138</v>
      </c>
      <c r="BC56" t="s">
        <v>138</v>
      </c>
      <c r="BD56" t="s">
        <v>138</v>
      </c>
      <c r="BE56" t="s">
        <v>138</v>
      </c>
      <c r="BF56" t="s">
        <v>138</v>
      </c>
      <c r="BG56" t="s">
        <v>138</v>
      </c>
      <c r="BH56" t="s">
        <v>138</v>
      </c>
      <c r="BI56" t="s">
        <v>138</v>
      </c>
      <c r="BJ56" t="s">
        <v>138</v>
      </c>
      <c r="BK56" t="s">
        <v>138</v>
      </c>
      <c r="BL56" t="s">
        <v>138</v>
      </c>
      <c r="BM56" t="s">
        <v>138</v>
      </c>
      <c r="BN56" t="s">
        <v>138</v>
      </c>
    </row>
    <row r="57" spans="1:66" x14ac:dyDescent="0.25">
      <c r="A57">
        <f>YEAR([1]chla!A57)</f>
        <v>2024</v>
      </c>
      <c r="B57">
        <f>MONTH([1]chla!A57)</f>
        <v>2</v>
      </c>
      <c r="C57">
        <f>DAY([1]chla!A57)</f>
        <v>10</v>
      </c>
      <c r="D57">
        <v>-64.520269999999996</v>
      </c>
      <c r="E57">
        <v>-50.952240000000003</v>
      </c>
      <c r="F57">
        <v>79.449184210526298</v>
      </c>
      <c r="G57">
        <v>0.10643993411576699</v>
      </c>
      <c r="H57">
        <v>2.0289794361336402E-2</v>
      </c>
      <c r="I57">
        <v>6.7896143205510295E-2</v>
      </c>
      <c r="J57">
        <v>1.8253996548921101E-2</v>
      </c>
      <c r="K57" t="s">
        <v>26</v>
      </c>
      <c r="L57" t="s">
        <v>26</v>
      </c>
      <c r="M57" t="s">
        <v>195</v>
      </c>
      <c r="N57" t="s">
        <v>26</v>
      </c>
      <c r="O57" s="3">
        <v>45332</v>
      </c>
      <c r="P57" t="s">
        <v>115</v>
      </c>
      <c r="Q57">
        <v>-64.452340500000005</v>
      </c>
      <c r="R57">
        <v>-50.857675350000001</v>
      </c>
      <c r="S57" t="s">
        <v>116</v>
      </c>
      <c r="T57">
        <v>70</v>
      </c>
      <c r="U57">
        <v>1000</v>
      </c>
      <c r="V57" s="4" t="s">
        <v>103</v>
      </c>
      <c r="W57">
        <v>3.0514652251510281E-2</v>
      </c>
      <c r="X57">
        <v>4.0195178443482721E-3</v>
      </c>
      <c r="Y57">
        <v>4.2299705347837543E-2</v>
      </c>
      <c r="Z57">
        <v>2.5782253384107029E-2</v>
      </c>
      <c r="AA57">
        <v>2.6764510738390458E-3</v>
      </c>
      <c r="AB57">
        <v>7.0696220017753969E-2</v>
      </c>
      <c r="AC57">
        <v>1.3825967875449991E-3</v>
      </c>
      <c r="AD57">
        <v>1.151874427541996E-2</v>
      </c>
      <c r="AE57">
        <v>0.20678394882540421</v>
      </c>
      <c r="AF57">
        <v>0.2183026931008242</v>
      </c>
      <c r="AG57">
        <v>0.1856356804108753</v>
      </c>
      <c r="AH57">
        <v>0.26230506833269268</v>
      </c>
      <c r="AI57">
        <v>0.34664825737199523</v>
      </c>
      <c r="AJ57">
        <v>0.39104667429531209</v>
      </c>
      <c r="AK57">
        <v>5.7261902831022532E-2</v>
      </c>
      <c r="AL57">
        <v>7.5674248143014197E-2</v>
      </c>
      <c r="AM57">
        <v>8.5366542126787473E-2</v>
      </c>
      <c r="AN57">
        <v>0.1976767208748075</v>
      </c>
      <c r="AO57">
        <v>0.17871993408767209</v>
      </c>
      <c r="AP57">
        <v>0.6123498734478855</v>
      </c>
      <c r="AQ57">
        <v>0.20893019246444239</v>
      </c>
      <c r="AR57">
        <v>3.9015042922140621E-2</v>
      </c>
      <c r="AS57">
        <v>0.1336776264936223</v>
      </c>
      <c r="AT57">
        <v>4.5610023685061313E-2</v>
      </c>
      <c r="AU57">
        <v>0.25782476221422029</v>
      </c>
      <c r="AV57">
        <v>5.3863775071650776E-3</v>
      </c>
      <c r="AW57">
        <v>0.49365767352050299</v>
      </c>
      <c r="AX57">
        <v>0.31306040603631968</v>
      </c>
      <c r="AY57">
        <v>0.1932819204431773</v>
      </c>
      <c r="AZ57">
        <v>0.10776679959941329</v>
      </c>
      <c r="BA57">
        <v>6.8341929740966104E-2</v>
      </c>
      <c r="BB57">
        <v>4.2193963760444847E-2</v>
      </c>
      <c r="BC57">
        <v>0.20630570216029101</v>
      </c>
      <c r="BD57">
        <v>2.370774295469124E-2</v>
      </c>
      <c r="BE57">
        <v>0.4576190723691872</v>
      </c>
      <c r="BF57">
        <v>0.48175854447193878</v>
      </c>
      <c r="BG57">
        <v>6.0622383158873923E-2</v>
      </c>
      <c r="BH57">
        <v>9.989947591249454E-2</v>
      </c>
      <c r="BI57">
        <v>0.1051691876825574</v>
      </c>
      <c r="BJ57">
        <v>1.3234029505772229E-2</v>
      </c>
      <c r="BK57" t="s">
        <v>138</v>
      </c>
      <c r="BL57" t="s">
        <v>138</v>
      </c>
      <c r="BM57" t="s">
        <v>138</v>
      </c>
      <c r="BN57" t="s">
        <v>138</v>
      </c>
    </row>
    <row r="58" spans="1:66" x14ac:dyDescent="0.25">
      <c r="A58">
        <f>YEAR([1]chla!A58)</f>
        <v>2024</v>
      </c>
      <c r="B58">
        <f>MONTH([1]chla!A58)</f>
        <v>2</v>
      </c>
      <c r="C58">
        <f>DAY([1]chla!A58)</f>
        <v>10</v>
      </c>
      <c r="D58">
        <v>-64.520269999999996</v>
      </c>
      <c r="E58">
        <v>-50.952240000000003</v>
      </c>
      <c r="F58">
        <v>55.192131578947297</v>
      </c>
      <c r="G58">
        <v>0.190847243415141</v>
      </c>
      <c r="H58">
        <v>2.3891590490994302E-2</v>
      </c>
      <c r="I58">
        <v>0.100938707699328</v>
      </c>
      <c r="J58">
        <v>6.6016945224819198E-2</v>
      </c>
      <c r="K58" t="s">
        <v>26</v>
      </c>
      <c r="L58" t="s">
        <v>26</v>
      </c>
      <c r="M58" t="s">
        <v>138</v>
      </c>
      <c r="N58" t="s">
        <v>138</v>
      </c>
      <c r="O58" s="3" t="s">
        <v>138</v>
      </c>
      <c r="P58" t="s">
        <v>138</v>
      </c>
      <c r="Q58" t="s">
        <v>138</v>
      </c>
      <c r="R58" t="s">
        <v>138</v>
      </c>
      <c r="S58" t="s">
        <v>138</v>
      </c>
      <c r="T58" t="s">
        <v>138</v>
      </c>
      <c r="U58" t="s">
        <v>138</v>
      </c>
      <c r="V58" t="s">
        <v>138</v>
      </c>
      <c r="W58" t="s">
        <v>138</v>
      </c>
      <c r="X58" t="s">
        <v>138</v>
      </c>
      <c r="Y58" t="s">
        <v>138</v>
      </c>
      <c r="Z58" t="s">
        <v>138</v>
      </c>
      <c r="AA58" t="s">
        <v>138</v>
      </c>
      <c r="AB58" t="s">
        <v>138</v>
      </c>
      <c r="AC58" t="s">
        <v>138</v>
      </c>
      <c r="AD58" t="s">
        <v>138</v>
      </c>
      <c r="AE58" t="s">
        <v>138</v>
      </c>
      <c r="AF58" t="s">
        <v>138</v>
      </c>
      <c r="AG58" t="s">
        <v>138</v>
      </c>
      <c r="AH58" t="s">
        <v>138</v>
      </c>
      <c r="AI58" t="s">
        <v>138</v>
      </c>
      <c r="AJ58" t="s">
        <v>138</v>
      </c>
      <c r="AK58" t="s">
        <v>138</v>
      </c>
      <c r="AL58" t="s">
        <v>138</v>
      </c>
      <c r="AM58" t="s">
        <v>138</v>
      </c>
      <c r="AN58" t="s">
        <v>138</v>
      </c>
      <c r="AO58" t="s">
        <v>138</v>
      </c>
      <c r="AP58" t="s">
        <v>138</v>
      </c>
      <c r="AQ58" t="s">
        <v>138</v>
      </c>
      <c r="AR58" t="s">
        <v>138</v>
      </c>
      <c r="AS58" t="s">
        <v>138</v>
      </c>
      <c r="AT58" t="s">
        <v>138</v>
      </c>
      <c r="AU58" t="s">
        <v>138</v>
      </c>
      <c r="AV58" t="s">
        <v>138</v>
      </c>
      <c r="AW58" t="s">
        <v>138</v>
      </c>
      <c r="AX58" t="s">
        <v>138</v>
      </c>
      <c r="AY58" t="s">
        <v>138</v>
      </c>
      <c r="AZ58" t="s">
        <v>138</v>
      </c>
      <c r="BA58" t="s">
        <v>138</v>
      </c>
      <c r="BB58" t="s">
        <v>138</v>
      </c>
      <c r="BC58" t="s">
        <v>138</v>
      </c>
      <c r="BD58" t="s">
        <v>138</v>
      </c>
      <c r="BE58" t="s">
        <v>138</v>
      </c>
      <c r="BF58" t="s">
        <v>138</v>
      </c>
      <c r="BG58" t="s">
        <v>138</v>
      </c>
      <c r="BH58" t="s">
        <v>138</v>
      </c>
      <c r="BI58" t="s">
        <v>138</v>
      </c>
      <c r="BJ58" t="s">
        <v>138</v>
      </c>
      <c r="BK58" t="s">
        <v>138</v>
      </c>
      <c r="BL58" t="s">
        <v>138</v>
      </c>
      <c r="BM58" t="s">
        <v>138</v>
      </c>
      <c r="BN58" t="s">
        <v>138</v>
      </c>
    </row>
    <row r="59" spans="1:66" x14ac:dyDescent="0.25">
      <c r="A59">
        <f>YEAR([1]chla!A59)</f>
        <v>2024</v>
      </c>
      <c r="B59">
        <f>MONTH([1]chla!A59)</f>
        <v>2</v>
      </c>
      <c r="C59">
        <f>DAY([1]chla!A59)</f>
        <v>10</v>
      </c>
      <c r="D59">
        <v>-64.520269999999996</v>
      </c>
      <c r="E59">
        <v>-50.952240000000003</v>
      </c>
      <c r="F59">
        <v>36.004054054054002</v>
      </c>
      <c r="G59">
        <v>0.184583250146171</v>
      </c>
      <c r="H59">
        <v>1.9663395034439399E-2</v>
      </c>
      <c r="I59">
        <v>0.10140850719450099</v>
      </c>
      <c r="J59">
        <v>6.3511347917231106E-2</v>
      </c>
      <c r="K59" t="s">
        <v>26</v>
      </c>
      <c r="L59" t="s">
        <v>26</v>
      </c>
      <c r="M59" t="s">
        <v>138</v>
      </c>
      <c r="N59" t="s">
        <v>138</v>
      </c>
      <c r="O59" s="3" t="s">
        <v>138</v>
      </c>
      <c r="P59" t="s">
        <v>138</v>
      </c>
      <c r="Q59" t="s">
        <v>138</v>
      </c>
      <c r="R59" t="s">
        <v>138</v>
      </c>
      <c r="S59" t="s">
        <v>138</v>
      </c>
      <c r="T59" t="s">
        <v>138</v>
      </c>
      <c r="U59" t="s">
        <v>138</v>
      </c>
      <c r="V59" t="s">
        <v>138</v>
      </c>
      <c r="W59" t="s">
        <v>138</v>
      </c>
      <c r="X59" t="s">
        <v>138</v>
      </c>
      <c r="Y59" t="s">
        <v>138</v>
      </c>
      <c r="Z59" t="s">
        <v>138</v>
      </c>
      <c r="AA59" t="s">
        <v>138</v>
      </c>
      <c r="AB59" t="s">
        <v>138</v>
      </c>
      <c r="AC59" t="s">
        <v>138</v>
      </c>
      <c r="AD59" t="s">
        <v>138</v>
      </c>
      <c r="AE59" t="s">
        <v>138</v>
      </c>
      <c r="AF59" t="s">
        <v>138</v>
      </c>
      <c r="AG59" t="s">
        <v>138</v>
      </c>
      <c r="AH59" t="s">
        <v>138</v>
      </c>
      <c r="AI59" t="s">
        <v>138</v>
      </c>
      <c r="AJ59" t="s">
        <v>138</v>
      </c>
      <c r="AK59" t="s">
        <v>138</v>
      </c>
      <c r="AL59" t="s">
        <v>138</v>
      </c>
      <c r="AM59" t="s">
        <v>138</v>
      </c>
      <c r="AN59" t="s">
        <v>138</v>
      </c>
      <c r="AO59" t="s">
        <v>138</v>
      </c>
      <c r="AP59" t="s">
        <v>138</v>
      </c>
      <c r="AQ59" t="s">
        <v>138</v>
      </c>
      <c r="AR59" t="s">
        <v>138</v>
      </c>
      <c r="AS59" t="s">
        <v>138</v>
      </c>
      <c r="AT59" t="s">
        <v>138</v>
      </c>
      <c r="AU59" t="s">
        <v>138</v>
      </c>
      <c r="AV59" t="s">
        <v>138</v>
      </c>
      <c r="AW59" t="s">
        <v>138</v>
      </c>
      <c r="AX59" t="s">
        <v>138</v>
      </c>
      <c r="AY59" t="s">
        <v>138</v>
      </c>
      <c r="AZ59" t="s">
        <v>138</v>
      </c>
      <c r="BA59" t="s">
        <v>138</v>
      </c>
      <c r="BB59" t="s">
        <v>138</v>
      </c>
      <c r="BC59" t="s">
        <v>138</v>
      </c>
      <c r="BD59" t="s">
        <v>138</v>
      </c>
      <c r="BE59" t="s">
        <v>138</v>
      </c>
      <c r="BF59" t="s">
        <v>138</v>
      </c>
      <c r="BG59" t="s">
        <v>138</v>
      </c>
      <c r="BH59" t="s">
        <v>138</v>
      </c>
      <c r="BI59" t="s">
        <v>138</v>
      </c>
      <c r="BJ59" t="s">
        <v>138</v>
      </c>
      <c r="BK59" t="s">
        <v>138</v>
      </c>
      <c r="BL59" t="s">
        <v>138</v>
      </c>
      <c r="BM59" t="s">
        <v>138</v>
      </c>
      <c r="BN59" t="s">
        <v>138</v>
      </c>
    </row>
    <row r="60" spans="1:66" x14ac:dyDescent="0.25">
      <c r="A60">
        <f>YEAR([1]chla!A60)</f>
        <v>2024</v>
      </c>
      <c r="B60">
        <f>MONTH([1]chla!A60)</f>
        <v>2</v>
      </c>
      <c r="C60">
        <f>DAY([1]chla!A60)</f>
        <v>10</v>
      </c>
      <c r="D60">
        <v>-64.520269999999996</v>
      </c>
      <c r="E60">
        <v>-50.952240000000003</v>
      </c>
      <c r="F60">
        <v>23.753717948717899</v>
      </c>
      <c r="G60">
        <v>0.175500459906164</v>
      </c>
      <c r="H60">
        <v>3.2191381572379899E-2</v>
      </c>
      <c r="I60">
        <v>9.9999108708982695E-2</v>
      </c>
      <c r="J60">
        <v>4.3309969624802103E-2</v>
      </c>
      <c r="K60" t="s">
        <v>26</v>
      </c>
      <c r="L60" t="s">
        <v>26</v>
      </c>
      <c r="M60" t="s">
        <v>195</v>
      </c>
      <c r="N60" t="s">
        <v>26</v>
      </c>
      <c r="O60" s="3">
        <v>45332</v>
      </c>
      <c r="P60" t="s">
        <v>115</v>
      </c>
      <c r="Q60">
        <v>-64.452340500000005</v>
      </c>
      <c r="R60">
        <v>-50.857675350000001</v>
      </c>
      <c r="S60" t="s">
        <v>117</v>
      </c>
      <c r="T60">
        <v>20</v>
      </c>
      <c r="U60">
        <v>1000</v>
      </c>
      <c r="V60" s="4" t="s">
        <v>103</v>
      </c>
      <c r="W60">
        <v>3.2384928361140278E-2</v>
      </c>
      <c r="X60">
        <v>1.651698287025364E-3</v>
      </c>
      <c r="Y60">
        <v>5.3478511205380483E-2</v>
      </c>
      <c r="Z60">
        <v>9.5409265119507387E-3</v>
      </c>
      <c r="AA60">
        <v>3.4960759511954631E-3</v>
      </c>
      <c r="AB60">
        <v>2.6512259183838639E-2</v>
      </c>
      <c r="AC60">
        <v>2.9645968824653702E-3</v>
      </c>
      <c r="AD60">
        <v>3.6423651036719663E-2</v>
      </c>
      <c r="AE60">
        <v>0.17025281968877551</v>
      </c>
      <c r="AF60">
        <v>0.20667647072549519</v>
      </c>
      <c r="AG60">
        <v>0.15067325774924401</v>
      </c>
      <c r="AH60">
        <v>0.3185146740092592</v>
      </c>
      <c r="AI60">
        <v>0.48684604140445947</v>
      </c>
      <c r="AJ60">
        <v>0.19463928458628141</v>
      </c>
      <c r="AK60">
        <v>6.5829488698515307E-2</v>
      </c>
      <c r="AL60">
        <v>0.100619621624152</v>
      </c>
      <c r="AM60">
        <v>4.0227360402827921E-2</v>
      </c>
      <c r="AN60">
        <v>0.1722124101990537</v>
      </c>
      <c r="AO60">
        <v>9.8523382014920294E-2</v>
      </c>
      <c r="AP60">
        <v>0.6519631448379033</v>
      </c>
      <c r="AQ60">
        <v>0.24951347314717659</v>
      </c>
      <c r="AR60">
        <v>2.0362464878783449E-2</v>
      </c>
      <c r="AS60">
        <v>0.1347454418181927</v>
      </c>
      <c r="AT60">
        <v>5.1568564028519073E-2</v>
      </c>
      <c r="AU60">
        <v>0.18684931600000809</v>
      </c>
      <c r="AV60">
        <v>1.8283554239501901E-3</v>
      </c>
      <c r="AW60">
        <v>0.26906709203578022</v>
      </c>
      <c r="AX60">
        <v>0.43294402848131669</v>
      </c>
      <c r="AY60">
        <v>0.29798887948290309</v>
      </c>
      <c r="AZ60">
        <v>5.5609836970327037E-2</v>
      </c>
      <c r="BA60">
        <v>8.9479343828196806E-2</v>
      </c>
      <c r="BB60">
        <v>6.1587289926971343E-2</v>
      </c>
      <c r="BC60">
        <v>0.15015385047990951</v>
      </c>
      <c r="BD60">
        <v>1.067303244925172E-2</v>
      </c>
      <c r="BE60">
        <v>0.25697000346452159</v>
      </c>
      <c r="BF60">
        <v>0.54504299832242975</v>
      </c>
      <c r="BG60">
        <v>0.1979869982130486</v>
      </c>
      <c r="BH60">
        <v>5.3109653398365597E-2</v>
      </c>
      <c r="BI60">
        <v>0.1126475632869218</v>
      </c>
      <c r="BJ60">
        <v>4.0919254040207811E-2</v>
      </c>
      <c r="BK60" t="s">
        <v>138</v>
      </c>
      <c r="BL60" t="s">
        <v>138</v>
      </c>
      <c r="BM60" t="s">
        <v>138</v>
      </c>
      <c r="BN60" t="s">
        <v>138</v>
      </c>
    </row>
    <row r="61" spans="1:66" x14ac:dyDescent="0.25">
      <c r="A61">
        <f>YEAR([1]chla!A61)</f>
        <v>2024</v>
      </c>
      <c r="B61">
        <f>MONTH([1]chla!A61)</f>
        <v>2</v>
      </c>
      <c r="C61">
        <f>DAY([1]chla!A61)</f>
        <v>10</v>
      </c>
      <c r="D61">
        <v>-64.520269999999996</v>
      </c>
      <c r="E61">
        <v>-50.952240000000003</v>
      </c>
      <c r="F61">
        <v>23.753717948717899</v>
      </c>
      <c r="G61">
        <v>0.16265927370477501</v>
      </c>
      <c r="H61">
        <v>3.3600780057898197E-2</v>
      </c>
      <c r="I61">
        <v>9.02899191420789E-2</v>
      </c>
      <c r="J61">
        <v>3.8768574504798703E-2</v>
      </c>
      <c r="K61" t="s">
        <v>26</v>
      </c>
      <c r="L61" t="s">
        <v>26</v>
      </c>
      <c r="M61" t="s">
        <v>195</v>
      </c>
      <c r="N61" t="s">
        <v>26</v>
      </c>
      <c r="O61" s="3">
        <v>45332</v>
      </c>
      <c r="P61" t="s">
        <v>115</v>
      </c>
      <c r="Q61">
        <v>-64.452340500000005</v>
      </c>
      <c r="R61">
        <v>-50.857675350000001</v>
      </c>
      <c r="S61" t="s">
        <v>117</v>
      </c>
      <c r="T61">
        <v>20</v>
      </c>
      <c r="U61">
        <v>1000</v>
      </c>
      <c r="V61" s="4" t="s">
        <v>103</v>
      </c>
      <c r="W61">
        <v>3.2384928361140278E-2</v>
      </c>
      <c r="X61">
        <v>1.651698287025364E-3</v>
      </c>
      <c r="Y61">
        <v>5.3478511205380483E-2</v>
      </c>
      <c r="Z61">
        <v>9.5409265119507387E-3</v>
      </c>
      <c r="AA61">
        <v>3.4960759511954631E-3</v>
      </c>
      <c r="AB61">
        <v>2.6512259183838639E-2</v>
      </c>
      <c r="AC61">
        <v>2.9645968824653702E-3</v>
      </c>
      <c r="AD61">
        <v>3.6423651036719663E-2</v>
      </c>
      <c r="AE61">
        <v>0.17025281968877551</v>
      </c>
      <c r="AF61">
        <v>0.20667647072549519</v>
      </c>
      <c r="AG61">
        <v>0.15067325774924401</v>
      </c>
      <c r="AH61">
        <v>0.3185146740092592</v>
      </c>
      <c r="AI61">
        <v>0.48684604140445947</v>
      </c>
      <c r="AJ61">
        <v>0.19463928458628141</v>
      </c>
      <c r="AK61">
        <v>6.5829488698515307E-2</v>
      </c>
      <c r="AL61">
        <v>0.100619621624152</v>
      </c>
      <c r="AM61">
        <v>4.0227360402827921E-2</v>
      </c>
      <c r="AN61">
        <v>0.1722124101990537</v>
      </c>
      <c r="AO61">
        <v>9.8523382014920294E-2</v>
      </c>
      <c r="AP61">
        <v>0.6519631448379033</v>
      </c>
      <c r="AQ61">
        <v>0.24951347314717659</v>
      </c>
      <c r="AR61">
        <v>2.0362464878783449E-2</v>
      </c>
      <c r="AS61">
        <v>0.1347454418181927</v>
      </c>
      <c r="AT61">
        <v>5.1568564028519073E-2</v>
      </c>
      <c r="AU61">
        <v>0.18684931600000809</v>
      </c>
      <c r="AV61">
        <v>1.8283554239501901E-3</v>
      </c>
      <c r="AW61">
        <v>0.26906709203578022</v>
      </c>
      <c r="AX61">
        <v>0.43294402848131669</v>
      </c>
      <c r="AY61">
        <v>0.29798887948290309</v>
      </c>
      <c r="AZ61">
        <v>5.5609836970327037E-2</v>
      </c>
      <c r="BA61">
        <v>8.9479343828196806E-2</v>
      </c>
      <c r="BB61">
        <v>6.1587289926971343E-2</v>
      </c>
      <c r="BC61">
        <v>0.15015385047990951</v>
      </c>
      <c r="BD61">
        <v>1.067303244925172E-2</v>
      </c>
      <c r="BE61">
        <v>0.25697000346452159</v>
      </c>
      <c r="BF61">
        <v>0.54504299832242975</v>
      </c>
      <c r="BG61">
        <v>0.1979869982130486</v>
      </c>
      <c r="BH61">
        <v>5.3109653398365597E-2</v>
      </c>
      <c r="BI61">
        <v>0.1126475632869218</v>
      </c>
      <c r="BJ61">
        <v>4.0919254040207811E-2</v>
      </c>
      <c r="BK61" t="s">
        <v>138</v>
      </c>
      <c r="BL61" t="s">
        <v>138</v>
      </c>
      <c r="BM61" t="s">
        <v>138</v>
      </c>
      <c r="BN61" t="s">
        <v>138</v>
      </c>
    </row>
    <row r="62" spans="1:66" x14ac:dyDescent="0.25">
      <c r="A62">
        <f>YEAR([1]chla!A62)</f>
        <v>2024</v>
      </c>
      <c r="B62">
        <f>MONTH([1]chla!A62)</f>
        <v>2</v>
      </c>
      <c r="C62">
        <f>DAY([1]chla!A62)</f>
        <v>10</v>
      </c>
      <c r="D62">
        <v>-64.520269999999996</v>
      </c>
      <c r="E62">
        <v>-50.952240000000003</v>
      </c>
      <c r="F62">
        <v>23.753717948717899</v>
      </c>
      <c r="G62">
        <v>0.18630584829513799</v>
      </c>
      <c r="H62">
        <v>3.79855753461774E-2</v>
      </c>
      <c r="I62">
        <v>0.111587496256577</v>
      </c>
      <c r="J62">
        <v>3.6732776692383298E-2</v>
      </c>
      <c r="K62" t="s">
        <v>26</v>
      </c>
      <c r="L62" t="s">
        <v>26</v>
      </c>
      <c r="M62" t="s">
        <v>195</v>
      </c>
      <c r="N62" t="s">
        <v>26</v>
      </c>
      <c r="O62" s="3">
        <v>45332</v>
      </c>
      <c r="P62" t="s">
        <v>115</v>
      </c>
      <c r="Q62">
        <v>-64.452340500000005</v>
      </c>
      <c r="R62">
        <v>-50.857675350000001</v>
      </c>
      <c r="S62" t="s">
        <v>117</v>
      </c>
      <c r="T62">
        <v>20</v>
      </c>
      <c r="U62">
        <v>1000</v>
      </c>
      <c r="V62" s="4" t="s">
        <v>103</v>
      </c>
      <c r="W62">
        <v>3.2384928361140278E-2</v>
      </c>
      <c r="X62">
        <v>1.651698287025364E-3</v>
      </c>
      <c r="Y62">
        <v>5.3478511205380483E-2</v>
      </c>
      <c r="Z62">
        <v>9.5409265119507387E-3</v>
      </c>
      <c r="AA62">
        <v>3.4960759511954631E-3</v>
      </c>
      <c r="AB62">
        <v>2.6512259183838639E-2</v>
      </c>
      <c r="AC62">
        <v>2.9645968824653702E-3</v>
      </c>
      <c r="AD62">
        <v>3.6423651036719663E-2</v>
      </c>
      <c r="AE62">
        <v>0.17025281968877551</v>
      </c>
      <c r="AF62">
        <v>0.20667647072549519</v>
      </c>
      <c r="AG62">
        <v>0.15067325774924401</v>
      </c>
      <c r="AH62">
        <v>0.3185146740092592</v>
      </c>
      <c r="AI62">
        <v>0.48684604140445947</v>
      </c>
      <c r="AJ62">
        <v>0.19463928458628141</v>
      </c>
      <c r="AK62">
        <v>6.5829488698515307E-2</v>
      </c>
      <c r="AL62">
        <v>0.100619621624152</v>
      </c>
      <c r="AM62">
        <v>4.0227360402827921E-2</v>
      </c>
      <c r="AN62">
        <v>0.1722124101990537</v>
      </c>
      <c r="AO62">
        <v>9.8523382014920294E-2</v>
      </c>
      <c r="AP62">
        <v>0.6519631448379033</v>
      </c>
      <c r="AQ62">
        <v>0.24951347314717659</v>
      </c>
      <c r="AR62">
        <v>2.0362464878783449E-2</v>
      </c>
      <c r="AS62">
        <v>0.1347454418181927</v>
      </c>
      <c r="AT62">
        <v>5.1568564028519073E-2</v>
      </c>
      <c r="AU62">
        <v>0.18684931600000809</v>
      </c>
      <c r="AV62">
        <v>1.8283554239501901E-3</v>
      </c>
      <c r="AW62">
        <v>0.26906709203578022</v>
      </c>
      <c r="AX62">
        <v>0.43294402848131669</v>
      </c>
      <c r="AY62">
        <v>0.29798887948290309</v>
      </c>
      <c r="AZ62">
        <v>5.5609836970327037E-2</v>
      </c>
      <c r="BA62">
        <v>8.9479343828196806E-2</v>
      </c>
      <c r="BB62">
        <v>6.1587289926971343E-2</v>
      </c>
      <c r="BC62">
        <v>0.15015385047990951</v>
      </c>
      <c r="BD62">
        <v>1.067303244925172E-2</v>
      </c>
      <c r="BE62">
        <v>0.25697000346452159</v>
      </c>
      <c r="BF62">
        <v>0.54504299832242975</v>
      </c>
      <c r="BG62">
        <v>0.1979869982130486</v>
      </c>
      <c r="BH62">
        <v>5.3109653398365597E-2</v>
      </c>
      <c r="BI62">
        <v>0.1126475632869218</v>
      </c>
      <c r="BJ62">
        <v>4.0919254040207811E-2</v>
      </c>
      <c r="BK62" t="s">
        <v>138</v>
      </c>
      <c r="BL62" t="s">
        <v>138</v>
      </c>
      <c r="BM62" t="s">
        <v>138</v>
      </c>
      <c r="BN62" t="s">
        <v>138</v>
      </c>
    </row>
    <row r="63" spans="1:66" x14ac:dyDescent="0.25">
      <c r="A63">
        <f>YEAR([1]chla!A63)</f>
        <v>2024</v>
      </c>
      <c r="B63">
        <f>MONTH([1]chla!A63)</f>
        <v>2</v>
      </c>
      <c r="C63">
        <f>DAY([1]chla!A63)</f>
        <v>10</v>
      </c>
      <c r="D63">
        <v>-64.520269999999996</v>
      </c>
      <c r="E63">
        <v>-50.952240000000003</v>
      </c>
      <c r="F63">
        <v>12.578931506849299</v>
      </c>
      <c r="G63">
        <v>0.164068672190294</v>
      </c>
      <c r="H63">
        <v>1.7627597222024099E-2</v>
      </c>
      <c r="I63">
        <v>0.10469710366071</v>
      </c>
      <c r="J63">
        <v>4.1743971307559503E-2</v>
      </c>
      <c r="K63" t="s">
        <v>26</v>
      </c>
      <c r="L63" t="s">
        <v>26</v>
      </c>
      <c r="M63" t="s">
        <v>138</v>
      </c>
      <c r="N63" t="s">
        <v>138</v>
      </c>
      <c r="O63" t="s">
        <v>138</v>
      </c>
      <c r="P63" t="s">
        <v>138</v>
      </c>
      <c r="Q63" t="s">
        <v>138</v>
      </c>
      <c r="R63" t="s">
        <v>138</v>
      </c>
      <c r="S63" t="s">
        <v>138</v>
      </c>
      <c r="T63" t="s">
        <v>138</v>
      </c>
      <c r="U63" t="s">
        <v>138</v>
      </c>
      <c r="V63" s="4" t="s">
        <v>138</v>
      </c>
      <c r="W63" t="s">
        <v>138</v>
      </c>
      <c r="X63" t="s">
        <v>138</v>
      </c>
      <c r="Y63" t="s">
        <v>138</v>
      </c>
      <c r="Z63" t="s">
        <v>138</v>
      </c>
      <c r="AA63" t="s">
        <v>138</v>
      </c>
      <c r="AB63" t="s">
        <v>138</v>
      </c>
      <c r="AC63" t="s">
        <v>138</v>
      </c>
      <c r="AD63" t="s">
        <v>138</v>
      </c>
      <c r="AE63" t="s">
        <v>138</v>
      </c>
      <c r="AF63" t="s">
        <v>138</v>
      </c>
      <c r="AG63" t="s">
        <v>138</v>
      </c>
      <c r="AH63" t="s">
        <v>138</v>
      </c>
      <c r="AI63" t="s">
        <v>138</v>
      </c>
      <c r="AJ63" t="s">
        <v>138</v>
      </c>
      <c r="AK63" t="s">
        <v>138</v>
      </c>
      <c r="AL63" t="s">
        <v>138</v>
      </c>
      <c r="AM63" t="s">
        <v>138</v>
      </c>
      <c r="AN63" t="s">
        <v>138</v>
      </c>
      <c r="AO63" t="s">
        <v>138</v>
      </c>
      <c r="AP63" t="s">
        <v>138</v>
      </c>
      <c r="AQ63" t="s">
        <v>138</v>
      </c>
      <c r="AR63" t="s">
        <v>138</v>
      </c>
      <c r="AS63" t="s">
        <v>138</v>
      </c>
      <c r="AT63" t="s">
        <v>138</v>
      </c>
      <c r="AU63" t="s">
        <v>138</v>
      </c>
      <c r="AV63" t="s">
        <v>138</v>
      </c>
      <c r="AW63" t="s">
        <v>138</v>
      </c>
      <c r="AX63" t="s">
        <v>138</v>
      </c>
      <c r="AY63" t="s">
        <v>138</v>
      </c>
      <c r="AZ63" t="s">
        <v>138</v>
      </c>
      <c r="BA63" t="s">
        <v>138</v>
      </c>
      <c r="BB63" t="s">
        <v>138</v>
      </c>
      <c r="BC63" t="s">
        <v>138</v>
      </c>
      <c r="BD63" t="s">
        <v>138</v>
      </c>
      <c r="BE63" t="s">
        <v>138</v>
      </c>
      <c r="BF63" t="s">
        <v>138</v>
      </c>
      <c r="BG63" t="s">
        <v>138</v>
      </c>
      <c r="BH63" t="s">
        <v>138</v>
      </c>
      <c r="BI63" t="s">
        <v>138</v>
      </c>
      <c r="BJ63" t="s">
        <v>138</v>
      </c>
      <c r="BK63" t="s">
        <v>138</v>
      </c>
      <c r="BL63" t="s">
        <v>138</v>
      </c>
      <c r="BM63" t="s">
        <v>138</v>
      </c>
      <c r="BN63" t="s">
        <v>138</v>
      </c>
    </row>
    <row r="64" spans="1:66" x14ac:dyDescent="0.25">
      <c r="A64">
        <f>YEAR([1]chla!A64)</f>
        <v>2024</v>
      </c>
      <c r="B64">
        <f>MONTH([1]chla!A64)</f>
        <v>2</v>
      </c>
      <c r="C64">
        <f>DAY([1]chla!A64)</f>
        <v>10</v>
      </c>
      <c r="D64">
        <v>-64.520269999999996</v>
      </c>
      <c r="E64">
        <v>-50.952240000000003</v>
      </c>
      <c r="F64">
        <v>2.6097874999999999</v>
      </c>
      <c r="G64">
        <v>0.179102256035822</v>
      </c>
      <c r="H64">
        <v>1.41824009240905E-2</v>
      </c>
      <c r="I64">
        <v>0.10469710366071</v>
      </c>
      <c r="J64">
        <v>6.0222751451021697E-2</v>
      </c>
      <c r="K64" t="s">
        <v>26</v>
      </c>
      <c r="L64" t="s">
        <v>26</v>
      </c>
      <c r="M64" t="s">
        <v>197</v>
      </c>
      <c r="N64" t="s">
        <v>26</v>
      </c>
      <c r="O64" t="s">
        <v>138</v>
      </c>
      <c r="P64" t="s">
        <v>138</v>
      </c>
      <c r="Q64" t="s">
        <v>138</v>
      </c>
      <c r="R64" t="s">
        <v>138</v>
      </c>
      <c r="S64" t="s">
        <v>138</v>
      </c>
      <c r="T64">
        <v>7</v>
      </c>
      <c r="U64" t="s">
        <v>138</v>
      </c>
      <c r="V64" t="s">
        <v>111</v>
      </c>
      <c r="W64">
        <v>3.7199999999999997E-2</v>
      </c>
      <c r="X64">
        <v>0</v>
      </c>
      <c r="Y64">
        <v>6.1400000000000003E-2</v>
      </c>
      <c r="Z64">
        <v>7.7000000000000002E-3</v>
      </c>
      <c r="AA64">
        <v>3.2000000000000002E-3</v>
      </c>
      <c r="AB64">
        <v>2.07E-2</v>
      </c>
      <c r="AC64">
        <v>0</v>
      </c>
      <c r="AD64" t="s">
        <v>138</v>
      </c>
      <c r="AE64" t="s">
        <v>138</v>
      </c>
      <c r="AF64">
        <v>0.16650000000000001</v>
      </c>
      <c r="AG64">
        <v>0.15595200000000001</v>
      </c>
      <c r="AH64">
        <v>0.33633425669436751</v>
      </c>
      <c r="AI64">
        <v>0.5296052631578948</v>
      </c>
      <c r="AJ64">
        <v>0.13406048014773769</v>
      </c>
      <c r="AK64">
        <v>5.599965373961218E-2</v>
      </c>
      <c r="AL64">
        <v>8.8179276315789493E-2</v>
      </c>
      <c r="AM64">
        <v>2.2321069944598339E-2</v>
      </c>
      <c r="AN64">
        <v>0.178788</v>
      </c>
      <c r="AO64">
        <v>5.4416403785488947E-2</v>
      </c>
      <c r="AP64">
        <v>0.67301496744747968</v>
      </c>
      <c r="AQ64">
        <v>0.27256862876703131</v>
      </c>
      <c r="AR64">
        <v>9.0603312302839113E-3</v>
      </c>
      <c r="AS64">
        <v>0.1120569920800054</v>
      </c>
      <c r="AT64">
        <v>4.5382676689710723E-2</v>
      </c>
      <c r="AU64">
        <v>0.18757699999999999</v>
      </c>
      <c r="AV64">
        <v>1.488200466211482E-3</v>
      </c>
      <c r="AW64">
        <v>0.1964313321995767</v>
      </c>
      <c r="AX64">
        <v>0.47229920945109483</v>
      </c>
      <c r="AY64">
        <v>0.33126945834932869</v>
      </c>
      <c r="AZ64">
        <v>3.2705816811229527E-2</v>
      </c>
      <c r="BA64">
        <v>7.8637818373607282E-2</v>
      </c>
      <c r="BB64">
        <v>5.5156364815163228E-2</v>
      </c>
      <c r="BC64">
        <v>0.14953900000000001</v>
      </c>
      <c r="BD64">
        <v>9.1443068423066893E-3</v>
      </c>
      <c r="BE64">
        <v>0.18133730999939809</v>
      </c>
      <c r="BF64">
        <v>0.57476376660937079</v>
      </c>
      <c r="BG64">
        <v>0.24389892339123101</v>
      </c>
      <c r="BH64">
        <v>3.019266211489979E-2</v>
      </c>
      <c r="BI64">
        <v>9.5698167140460241E-2</v>
      </c>
      <c r="BJ64">
        <v>4.0609170744639968E-2</v>
      </c>
      <c r="BK64" t="s">
        <v>138</v>
      </c>
      <c r="BL64" t="s">
        <v>138</v>
      </c>
      <c r="BM64" t="s">
        <v>138</v>
      </c>
      <c r="BN64" t="s">
        <v>138</v>
      </c>
    </row>
    <row r="65" spans="1:66" x14ac:dyDescent="0.25">
      <c r="A65">
        <f>YEAR([1]chla!A65)</f>
        <v>2024</v>
      </c>
      <c r="B65">
        <f>MONTH([1]chla!A65)</f>
        <v>2</v>
      </c>
      <c r="C65">
        <f>DAY([1]chla!A65)</f>
        <v>11</v>
      </c>
      <c r="D65">
        <v>-64.550759999999997</v>
      </c>
      <c r="E65">
        <v>-52.733840000000001</v>
      </c>
      <c r="F65">
        <v>201.67047368421001</v>
      </c>
      <c r="G65">
        <v>1.4958101014053199E-2</v>
      </c>
      <c r="H65">
        <v>2.9753170954383902E-3</v>
      </c>
      <c r="I65">
        <v>1.0148684339234999E-2</v>
      </c>
      <c r="J65">
        <v>1.83409957937983E-3</v>
      </c>
      <c r="K65" t="s">
        <v>27</v>
      </c>
      <c r="L65" t="s">
        <v>28</v>
      </c>
      <c r="M65" t="s">
        <v>138</v>
      </c>
      <c r="N65" t="s">
        <v>138</v>
      </c>
      <c r="O65" t="s">
        <v>138</v>
      </c>
      <c r="P65" t="s">
        <v>138</v>
      </c>
      <c r="Q65" t="s">
        <v>138</v>
      </c>
      <c r="R65" t="s">
        <v>138</v>
      </c>
      <c r="S65" t="s">
        <v>138</v>
      </c>
      <c r="T65" t="s">
        <v>138</v>
      </c>
      <c r="U65" t="s">
        <v>138</v>
      </c>
      <c r="V65" s="4" t="s">
        <v>138</v>
      </c>
      <c r="W65" t="s">
        <v>138</v>
      </c>
      <c r="X65" t="s">
        <v>138</v>
      </c>
      <c r="Y65" t="s">
        <v>138</v>
      </c>
      <c r="Z65" t="s">
        <v>138</v>
      </c>
      <c r="AA65" t="s">
        <v>138</v>
      </c>
      <c r="AB65" t="s">
        <v>138</v>
      </c>
      <c r="AC65" t="s">
        <v>138</v>
      </c>
      <c r="AD65" t="s">
        <v>138</v>
      </c>
      <c r="AE65" t="s">
        <v>138</v>
      </c>
      <c r="AF65" t="s">
        <v>138</v>
      </c>
      <c r="AG65" t="s">
        <v>138</v>
      </c>
      <c r="AH65" t="s">
        <v>138</v>
      </c>
      <c r="AI65" t="s">
        <v>138</v>
      </c>
      <c r="AJ65" t="s">
        <v>138</v>
      </c>
      <c r="AK65" t="s">
        <v>138</v>
      </c>
      <c r="AL65" t="s">
        <v>138</v>
      </c>
      <c r="AM65" t="s">
        <v>138</v>
      </c>
      <c r="AN65" t="s">
        <v>138</v>
      </c>
      <c r="AO65" t="s">
        <v>138</v>
      </c>
      <c r="AP65" t="s">
        <v>138</v>
      </c>
      <c r="AQ65" t="s">
        <v>138</v>
      </c>
      <c r="AR65" t="s">
        <v>138</v>
      </c>
      <c r="AS65" t="s">
        <v>138</v>
      </c>
      <c r="AT65" t="s">
        <v>138</v>
      </c>
      <c r="AU65" t="s">
        <v>138</v>
      </c>
      <c r="AV65" t="s">
        <v>138</v>
      </c>
      <c r="AW65" t="s">
        <v>138</v>
      </c>
      <c r="AX65" t="s">
        <v>138</v>
      </c>
      <c r="AY65" t="s">
        <v>138</v>
      </c>
      <c r="AZ65" t="s">
        <v>138</v>
      </c>
      <c r="BA65" t="s">
        <v>138</v>
      </c>
      <c r="BB65" t="s">
        <v>138</v>
      </c>
      <c r="BC65" t="s">
        <v>138</v>
      </c>
      <c r="BD65" t="s">
        <v>138</v>
      </c>
      <c r="BE65" t="s">
        <v>138</v>
      </c>
      <c r="BF65" t="s">
        <v>138</v>
      </c>
      <c r="BG65" t="s">
        <v>138</v>
      </c>
      <c r="BH65" t="s">
        <v>138</v>
      </c>
      <c r="BI65" t="s">
        <v>138</v>
      </c>
      <c r="BJ65" t="s">
        <v>138</v>
      </c>
      <c r="BK65" t="s">
        <v>138</v>
      </c>
      <c r="BL65" t="s">
        <v>138</v>
      </c>
      <c r="BM65" t="s">
        <v>138</v>
      </c>
      <c r="BN65" t="s">
        <v>138</v>
      </c>
    </row>
    <row r="66" spans="1:66" x14ac:dyDescent="0.25">
      <c r="A66">
        <f>YEAR([1]chla!A66)</f>
        <v>2024</v>
      </c>
      <c r="B66">
        <f>MONTH([1]chla!A66)</f>
        <v>2</v>
      </c>
      <c r="C66">
        <f>DAY([1]chla!A66)</f>
        <v>11</v>
      </c>
      <c r="D66">
        <v>-64.550759999999997</v>
      </c>
      <c r="E66">
        <v>-52.733840000000001</v>
      </c>
      <c r="F66">
        <v>106.311236842105</v>
      </c>
      <c r="G66">
        <v>0.155164824415533</v>
      </c>
      <c r="H66">
        <v>1.3898399034856001E-2</v>
      </c>
      <c r="I66">
        <v>9.7533339854576295E-2</v>
      </c>
      <c r="J66">
        <v>4.3733085526101202E-2</v>
      </c>
      <c r="K66" t="s">
        <v>27</v>
      </c>
      <c r="L66" t="s">
        <v>28</v>
      </c>
      <c r="M66" t="s">
        <v>195</v>
      </c>
      <c r="N66" t="s">
        <v>27</v>
      </c>
      <c r="O66" s="3">
        <v>45333</v>
      </c>
      <c r="P66" t="s">
        <v>118</v>
      </c>
      <c r="Q66">
        <v>-64.585975466666596</v>
      </c>
      <c r="R66">
        <v>-52.7161597666666</v>
      </c>
      <c r="S66" t="s">
        <v>119</v>
      </c>
      <c r="T66">
        <v>100</v>
      </c>
      <c r="U66">
        <v>1475</v>
      </c>
      <c r="V66" s="4" t="s">
        <v>103</v>
      </c>
      <c r="W66">
        <v>1.9655531466937319E-2</v>
      </c>
      <c r="X66">
        <v>1.351463720852473E-3</v>
      </c>
      <c r="Y66">
        <v>3.2750276257335988E-2</v>
      </c>
      <c r="Z66">
        <v>2.7780663590605371E-2</v>
      </c>
      <c r="AA66">
        <v>1.5061724177276639E-3</v>
      </c>
      <c r="AB66">
        <v>2.6377614086883671E-2</v>
      </c>
      <c r="AC66">
        <v>2.8201918570962828E-4</v>
      </c>
      <c r="AD66">
        <v>4.3834720622982874E-3</v>
      </c>
      <c r="AE66">
        <v>0.1232513615193981</v>
      </c>
      <c r="AF66">
        <v>0.12763483358169639</v>
      </c>
      <c r="AG66">
        <v>0.10872357649641159</v>
      </c>
      <c r="AH66">
        <v>0.27243275257562188</v>
      </c>
      <c r="AI66">
        <v>0.48029864576694359</v>
      </c>
      <c r="AJ66">
        <v>0.24726860165743439</v>
      </c>
      <c r="AK66">
        <v>3.4771909037192968E-2</v>
      </c>
      <c r="AL66">
        <v>6.1302837721977997E-2</v>
      </c>
      <c r="AM66">
        <v>3.1560086822525417E-2</v>
      </c>
      <c r="AN66">
        <v>0.1109740864855337</v>
      </c>
      <c r="AO66">
        <v>0.1155778631688574</v>
      </c>
      <c r="AP66">
        <v>0.64837847944105553</v>
      </c>
      <c r="AQ66">
        <v>0.23604365739008709</v>
      </c>
      <c r="AR66">
        <v>1.4751761331285191E-2</v>
      </c>
      <c r="AS66">
        <v>8.2755679321412479E-2</v>
      </c>
      <c r="AT66">
        <v>3.0127392928998731E-2</v>
      </c>
      <c r="AU66">
        <v>0.14204087362508791</v>
      </c>
      <c r="AV66">
        <v>5.4257286966098613E-3</v>
      </c>
      <c r="AW66">
        <v>0.33261871616260069</v>
      </c>
      <c r="AX66">
        <v>0.47860406083298163</v>
      </c>
      <c r="AY66">
        <v>0.18877722300441771</v>
      </c>
      <c r="AZ66">
        <v>4.2453734483571037E-2</v>
      </c>
      <c r="BA66">
        <v>6.1086549655941708E-2</v>
      </c>
      <c r="BB66">
        <v>2.409454944218364E-2</v>
      </c>
      <c r="BC66">
        <v>0.1202986240833778</v>
      </c>
      <c r="BD66">
        <v>1.9655531466937319E-2</v>
      </c>
      <c r="BE66">
        <v>0.2902884356435908</v>
      </c>
      <c r="BF66">
        <v>0.69948840515283128</v>
      </c>
      <c r="BG66">
        <v>1.0223159203577969E-2</v>
      </c>
      <c r="BH66">
        <v>3.7050916174060693E-2</v>
      </c>
      <c r="BI66">
        <v>8.9279086184007844E-2</v>
      </c>
      <c r="BJ66">
        <v>1.3048312236278621E-3</v>
      </c>
      <c r="BK66" t="s">
        <v>138</v>
      </c>
      <c r="BL66" t="s">
        <v>138</v>
      </c>
      <c r="BM66" t="s">
        <v>138</v>
      </c>
      <c r="BN66" t="s">
        <v>138</v>
      </c>
    </row>
    <row r="67" spans="1:66" x14ac:dyDescent="0.25">
      <c r="A67">
        <f>YEAR([1]chla!A67)</f>
        <v>2024</v>
      </c>
      <c r="B67">
        <f>MONTH([1]chla!A67)</f>
        <v>2</v>
      </c>
      <c r="C67">
        <f>DAY([1]chla!A67)</f>
        <v>11</v>
      </c>
      <c r="D67">
        <v>-64.550759999999997</v>
      </c>
      <c r="E67">
        <v>-52.733840000000001</v>
      </c>
      <c r="F67">
        <v>70.891999999999896</v>
      </c>
      <c r="G67">
        <v>0.24825556751116701</v>
      </c>
      <c r="H67">
        <v>2.2702077015879198E-2</v>
      </c>
      <c r="I67">
        <v>0.14921419022465601</v>
      </c>
      <c r="J67">
        <v>7.6339300270631502E-2</v>
      </c>
      <c r="K67" t="s">
        <v>27</v>
      </c>
      <c r="L67" t="s">
        <v>29</v>
      </c>
      <c r="M67" t="s">
        <v>138</v>
      </c>
      <c r="N67" t="s">
        <v>138</v>
      </c>
      <c r="O67" t="s">
        <v>138</v>
      </c>
      <c r="P67" t="s">
        <v>138</v>
      </c>
      <c r="Q67" t="s">
        <v>138</v>
      </c>
      <c r="R67" t="s">
        <v>138</v>
      </c>
      <c r="S67" t="s">
        <v>138</v>
      </c>
      <c r="T67" t="s">
        <v>138</v>
      </c>
      <c r="U67" t="s">
        <v>138</v>
      </c>
      <c r="V67" s="4" t="s">
        <v>138</v>
      </c>
      <c r="W67" t="s">
        <v>138</v>
      </c>
      <c r="X67" t="s">
        <v>138</v>
      </c>
      <c r="Y67" t="s">
        <v>138</v>
      </c>
      <c r="Z67" t="s">
        <v>138</v>
      </c>
      <c r="AA67" t="s">
        <v>138</v>
      </c>
      <c r="AB67" t="s">
        <v>138</v>
      </c>
      <c r="AC67" t="s">
        <v>138</v>
      </c>
      <c r="AD67" t="s">
        <v>138</v>
      </c>
      <c r="AE67" t="s">
        <v>138</v>
      </c>
      <c r="AF67" t="s">
        <v>138</v>
      </c>
      <c r="AG67" t="s">
        <v>138</v>
      </c>
      <c r="AH67" t="s">
        <v>138</v>
      </c>
      <c r="AI67" t="s">
        <v>138</v>
      </c>
      <c r="AJ67" t="s">
        <v>138</v>
      </c>
      <c r="AK67" t="s">
        <v>138</v>
      </c>
      <c r="AL67" t="s">
        <v>138</v>
      </c>
      <c r="AM67" t="s">
        <v>138</v>
      </c>
      <c r="AN67" t="s">
        <v>138</v>
      </c>
      <c r="AO67" t="s">
        <v>138</v>
      </c>
      <c r="AP67" t="s">
        <v>138</v>
      </c>
      <c r="AQ67" t="s">
        <v>138</v>
      </c>
      <c r="AR67" t="s">
        <v>138</v>
      </c>
      <c r="AS67" t="s">
        <v>138</v>
      </c>
      <c r="AT67" t="s">
        <v>138</v>
      </c>
      <c r="AU67" t="s">
        <v>138</v>
      </c>
      <c r="AV67" t="s">
        <v>138</v>
      </c>
      <c r="AW67" t="s">
        <v>138</v>
      </c>
      <c r="AX67" t="s">
        <v>138</v>
      </c>
      <c r="AY67" t="s">
        <v>138</v>
      </c>
      <c r="AZ67" t="s">
        <v>138</v>
      </c>
      <c r="BA67" t="s">
        <v>138</v>
      </c>
      <c r="BB67" t="s">
        <v>138</v>
      </c>
      <c r="BC67" t="s">
        <v>138</v>
      </c>
      <c r="BD67" t="s">
        <v>138</v>
      </c>
      <c r="BE67" t="s">
        <v>138</v>
      </c>
      <c r="BF67" t="s">
        <v>138</v>
      </c>
      <c r="BG67" t="s">
        <v>138</v>
      </c>
      <c r="BH67" t="s">
        <v>138</v>
      </c>
      <c r="BI67" t="s">
        <v>138</v>
      </c>
      <c r="BJ67" t="s">
        <v>138</v>
      </c>
      <c r="BK67" t="s">
        <v>138</v>
      </c>
      <c r="BL67" t="s">
        <v>138</v>
      </c>
      <c r="BM67" t="s">
        <v>138</v>
      </c>
      <c r="BN67" t="s">
        <v>138</v>
      </c>
    </row>
    <row r="68" spans="1:66" x14ac:dyDescent="0.25">
      <c r="A68">
        <f>YEAR([1]chla!A68)</f>
        <v>2024</v>
      </c>
      <c r="B68">
        <f>MONTH([1]chla!A68)</f>
        <v>2</v>
      </c>
      <c r="C68">
        <f>DAY([1]chla!A68)</f>
        <v>11</v>
      </c>
      <c r="D68">
        <v>-64.550759999999997</v>
      </c>
      <c r="E68">
        <v>-52.733840000000001</v>
      </c>
      <c r="F68">
        <v>46.576216216216203</v>
      </c>
      <c r="G68">
        <v>0.19282500244546599</v>
      </c>
      <c r="H68">
        <v>1.0637777560402999E-2</v>
      </c>
      <c r="I68">
        <v>0.111717043268446</v>
      </c>
      <c r="J68">
        <v>7.0470181616616098E-2</v>
      </c>
      <c r="K68" t="s">
        <v>27</v>
      </c>
      <c r="L68" t="s">
        <v>29</v>
      </c>
      <c r="M68" t="s">
        <v>138</v>
      </c>
      <c r="N68" t="s">
        <v>138</v>
      </c>
      <c r="O68" t="s">
        <v>138</v>
      </c>
      <c r="P68" t="s">
        <v>138</v>
      </c>
      <c r="Q68" t="s">
        <v>138</v>
      </c>
      <c r="R68" t="s">
        <v>138</v>
      </c>
      <c r="S68" t="s">
        <v>138</v>
      </c>
      <c r="T68" t="s">
        <v>138</v>
      </c>
      <c r="U68" t="s">
        <v>138</v>
      </c>
      <c r="V68" s="4" t="s">
        <v>138</v>
      </c>
      <c r="W68" t="s">
        <v>138</v>
      </c>
      <c r="X68" t="s">
        <v>138</v>
      </c>
      <c r="Y68" t="s">
        <v>138</v>
      </c>
      <c r="Z68" t="s">
        <v>138</v>
      </c>
      <c r="AA68" t="s">
        <v>138</v>
      </c>
      <c r="AB68" t="s">
        <v>138</v>
      </c>
      <c r="AC68" t="s">
        <v>138</v>
      </c>
      <c r="AD68" t="s">
        <v>138</v>
      </c>
      <c r="AE68" t="s">
        <v>138</v>
      </c>
      <c r="AF68" t="s">
        <v>138</v>
      </c>
      <c r="AG68" t="s">
        <v>138</v>
      </c>
      <c r="AH68" t="s">
        <v>138</v>
      </c>
      <c r="AI68" t="s">
        <v>138</v>
      </c>
      <c r="AJ68" t="s">
        <v>138</v>
      </c>
      <c r="AK68" t="s">
        <v>138</v>
      </c>
      <c r="AL68" t="s">
        <v>138</v>
      </c>
      <c r="AM68" t="s">
        <v>138</v>
      </c>
      <c r="AN68" t="s">
        <v>138</v>
      </c>
      <c r="AO68" t="s">
        <v>138</v>
      </c>
      <c r="AP68" t="s">
        <v>138</v>
      </c>
      <c r="AQ68" t="s">
        <v>138</v>
      </c>
      <c r="AR68" t="s">
        <v>138</v>
      </c>
      <c r="AS68" t="s">
        <v>138</v>
      </c>
      <c r="AT68" t="s">
        <v>138</v>
      </c>
      <c r="AU68" t="s">
        <v>138</v>
      </c>
      <c r="AV68" t="s">
        <v>138</v>
      </c>
      <c r="AW68" t="s">
        <v>138</v>
      </c>
      <c r="AX68" t="s">
        <v>138</v>
      </c>
      <c r="AY68" t="s">
        <v>138</v>
      </c>
      <c r="AZ68" t="s">
        <v>138</v>
      </c>
      <c r="BA68" t="s">
        <v>138</v>
      </c>
      <c r="BB68" t="s">
        <v>138</v>
      </c>
      <c r="BC68" t="s">
        <v>138</v>
      </c>
      <c r="BD68" t="s">
        <v>138</v>
      </c>
      <c r="BE68" t="s">
        <v>138</v>
      </c>
      <c r="BF68" t="s">
        <v>138</v>
      </c>
      <c r="BG68" t="s">
        <v>138</v>
      </c>
      <c r="BH68" t="s">
        <v>138</v>
      </c>
      <c r="BI68" t="s">
        <v>138</v>
      </c>
      <c r="BJ68" t="s">
        <v>138</v>
      </c>
      <c r="BK68" t="s">
        <v>138</v>
      </c>
      <c r="BL68" t="s">
        <v>138</v>
      </c>
      <c r="BM68" t="s">
        <v>138</v>
      </c>
      <c r="BN68" t="s">
        <v>138</v>
      </c>
    </row>
    <row r="69" spans="1:66" x14ac:dyDescent="0.25">
      <c r="A69">
        <f>YEAR([1]chla!A69)</f>
        <v>2024</v>
      </c>
      <c r="B69">
        <f>MONTH([1]chla!A69)</f>
        <v>2</v>
      </c>
      <c r="C69">
        <f>DAY([1]chla!A69)</f>
        <v>11</v>
      </c>
      <c r="D69">
        <v>-64.550759999999997</v>
      </c>
      <c r="E69">
        <v>-52.733840000000001</v>
      </c>
      <c r="F69">
        <v>46.576216216216203</v>
      </c>
      <c r="G69">
        <v>0.17114186964035299</v>
      </c>
      <c r="H69">
        <v>1.65068962144184E-2</v>
      </c>
      <c r="I69">
        <v>0.113836447226841</v>
      </c>
      <c r="J69">
        <v>4.07985261990935E-2</v>
      </c>
      <c r="K69" t="s">
        <v>27</v>
      </c>
      <c r="L69" t="s">
        <v>29</v>
      </c>
      <c r="M69" t="s">
        <v>138</v>
      </c>
      <c r="N69" t="s">
        <v>138</v>
      </c>
      <c r="O69" t="s">
        <v>138</v>
      </c>
      <c r="P69" t="s">
        <v>138</v>
      </c>
      <c r="Q69" t="s">
        <v>138</v>
      </c>
      <c r="R69" t="s">
        <v>138</v>
      </c>
      <c r="S69" t="s">
        <v>138</v>
      </c>
      <c r="T69" t="s">
        <v>138</v>
      </c>
      <c r="U69" t="s">
        <v>138</v>
      </c>
      <c r="V69" s="4" t="s">
        <v>138</v>
      </c>
      <c r="W69" t="s">
        <v>138</v>
      </c>
      <c r="X69" t="s">
        <v>138</v>
      </c>
      <c r="Y69" t="s">
        <v>138</v>
      </c>
      <c r="Z69" t="s">
        <v>138</v>
      </c>
      <c r="AA69" t="s">
        <v>138</v>
      </c>
      <c r="AB69" t="s">
        <v>138</v>
      </c>
      <c r="AC69" t="s">
        <v>138</v>
      </c>
      <c r="AD69" t="s">
        <v>138</v>
      </c>
      <c r="AE69" t="s">
        <v>138</v>
      </c>
      <c r="AF69" t="s">
        <v>138</v>
      </c>
      <c r="AG69" t="s">
        <v>138</v>
      </c>
      <c r="AH69" t="s">
        <v>138</v>
      </c>
      <c r="AI69" t="s">
        <v>138</v>
      </c>
      <c r="AJ69" t="s">
        <v>138</v>
      </c>
      <c r="AK69" t="s">
        <v>138</v>
      </c>
      <c r="AL69" t="s">
        <v>138</v>
      </c>
      <c r="AM69" t="s">
        <v>138</v>
      </c>
      <c r="AN69" t="s">
        <v>138</v>
      </c>
      <c r="AO69" t="s">
        <v>138</v>
      </c>
      <c r="AP69" t="s">
        <v>138</v>
      </c>
      <c r="AQ69" t="s">
        <v>138</v>
      </c>
      <c r="AR69" t="s">
        <v>138</v>
      </c>
      <c r="AS69" t="s">
        <v>138</v>
      </c>
      <c r="AT69" t="s">
        <v>138</v>
      </c>
      <c r="AU69" t="s">
        <v>138</v>
      </c>
      <c r="AV69" t="s">
        <v>138</v>
      </c>
      <c r="AW69" t="s">
        <v>138</v>
      </c>
      <c r="AX69" t="s">
        <v>138</v>
      </c>
      <c r="AY69" t="s">
        <v>138</v>
      </c>
      <c r="AZ69" t="s">
        <v>138</v>
      </c>
      <c r="BA69" t="s">
        <v>138</v>
      </c>
      <c r="BB69" t="s">
        <v>138</v>
      </c>
      <c r="BC69" t="s">
        <v>138</v>
      </c>
      <c r="BD69" t="s">
        <v>138</v>
      </c>
      <c r="BE69" t="s">
        <v>138</v>
      </c>
      <c r="BF69" t="s">
        <v>138</v>
      </c>
      <c r="BG69" t="s">
        <v>138</v>
      </c>
      <c r="BH69" t="s">
        <v>138</v>
      </c>
      <c r="BI69" t="s">
        <v>138</v>
      </c>
      <c r="BJ69" t="s">
        <v>138</v>
      </c>
      <c r="BK69" t="s">
        <v>138</v>
      </c>
      <c r="BL69" t="s">
        <v>138</v>
      </c>
      <c r="BM69" t="s">
        <v>138</v>
      </c>
      <c r="BN69" t="s">
        <v>138</v>
      </c>
    </row>
    <row r="70" spans="1:66" x14ac:dyDescent="0.25">
      <c r="A70">
        <f>YEAR([1]chla!A70)</f>
        <v>2024</v>
      </c>
      <c r="B70">
        <f>MONTH([1]chla!A70)</f>
        <v>2</v>
      </c>
      <c r="C70">
        <f>DAY([1]chla!A70)</f>
        <v>11</v>
      </c>
      <c r="D70">
        <v>-64.550759999999997</v>
      </c>
      <c r="E70">
        <v>-52.733840000000001</v>
      </c>
      <c r="F70">
        <v>46.576216216216203</v>
      </c>
      <c r="G70">
        <v>0.16885943460823599</v>
      </c>
      <c r="H70">
        <v>1.47135544034693E-2</v>
      </c>
      <c r="I70">
        <v>0.116607975480126</v>
      </c>
      <c r="J70">
        <v>3.7537904724640497E-2</v>
      </c>
      <c r="K70" t="s">
        <v>27</v>
      </c>
      <c r="L70" t="s">
        <v>29</v>
      </c>
      <c r="M70" t="s">
        <v>138</v>
      </c>
      <c r="N70" t="s">
        <v>138</v>
      </c>
      <c r="O70" t="s">
        <v>138</v>
      </c>
      <c r="P70" t="s">
        <v>138</v>
      </c>
      <c r="Q70" t="s">
        <v>138</v>
      </c>
      <c r="R70" t="s">
        <v>138</v>
      </c>
      <c r="S70" t="s">
        <v>138</v>
      </c>
      <c r="T70" t="s">
        <v>138</v>
      </c>
      <c r="U70" t="s">
        <v>138</v>
      </c>
      <c r="V70" s="4" t="s">
        <v>138</v>
      </c>
      <c r="W70" t="s">
        <v>138</v>
      </c>
      <c r="X70" t="s">
        <v>138</v>
      </c>
      <c r="Y70" t="s">
        <v>138</v>
      </c>
      <c r="Z70" t="s">
        <v>138</v>
      </c>
      <c r="AA70" t="s">
        <v>138</v>
      </c>
      <c r="AB70" t="s">
        <v>138</v>
      </c>
      <c r="AC70" t="s">
        <v>138</v>
      </c>
      <c r="AD70" t="s">
        <v>138</v>
      </c>
      <c r="AE70" t="s">
        <v>138</v>
      </c>
      <c r="AF70" t="s">
        <v>138</v>
      </c>
      <c r="AG70" t="s">
        <v>138</v>
      </c>
      <c r="AH70" t="s">
        <v>138</v>
      </c>
      <c r="AI70" t="s">
        <v>138</v>
      </c>
      <c r="AJ70" t="s">
        <v>138</v>
      </c>
      <c r="AK70" t="s">
        <v>138</v>
      </c>
      <c r="AL70" t="s">
        <v>138</v>
      </c>
      <c r="AM70" t="s">
        <v>138</v>
      </c>
      <c r="AN70" t="s">
        <v>138</v>
      </c>
      <c r="AO70" t="s">
        <v>138</v>
      </c>
      <c r="AP70" t="s">
        <v>138</v>
      </c>
      <c r="AQ70" t="s">
        <v>138</v>
      </c>
      <c r="AR70" t="s">
        <v>138</v>
      </c>
      <c r="AS70" t="s">
        <v>138</v>
      </c>
      <c r="AT70" t="s">
        <v>138</v>
      </c>
      <c r="AU70" t="s">
        <v>138</v>
      </c>
      <c r="AV70" t="s">
        <v>138</v>
      </c>
      <c r="AW70" t="s">
        <v>138</v>
      </c>
      <c r="AX70" t="s">
        <v>138</v>
      </c>
      <c r="AY70" t="s">
        <v>138</v>
      </c>
      <c r="AZ70" t="s">
        <v>138</v>
      </c>
      <c r="BA70" t="s">
        <v>138</v>
      </c>
      <c r="BB70" t="s">
        <v>138</v>
      </c>
      <c r="BC70" t="s">
        <v>138</v>
      </c>
      <c r="BD70" t="s">
        <v>138</v>
      </c>
      <c r="BE70" t="s">
        <v>138</v>
      </c>
      <c r="BF70" t="s">
        <v>138</v>
      </c>
      <c r="BG70" t="s">
        <v>138</v>
      </c>
      <c r="BH70" t="s">
        <v>138</v>
      </c>
      <c r="BI70" t="s">
        <v>138</v>
      </c>
      <c r="BJ70" t="s">
        <v>138</v>
      </c>
      <c r="BK70" t="s">
        <v>138</v>
      </c>
      <c r="BL70" t="s">
        <v>138</v>
      </c>
      <c r="BM70" t="s">
        <v>138</v>
      </c>
      <c r="BN70" t="s">
        <v>138</v>
      </c>
    </row>
    <row r="71" spans="1:66" x14ac:dyDescent="0.25">
      <c r="A71">
        <f>YEAR([1]chla!A71)</f>
        <v>2024</v>
      </c>
      <c r="B71">
        <f>MONTH([1]chla!A71)</f>
        <v>2</v>
      </c>
      <c r="C71">
        <f>DAY([1]chla!A71)</f>
        <v>11</v>
      </c>
      <c r="D71">
        <v>-64.550759999999997</v>
      </c>
      <c r="E71">
        <v>-52.733840000000001</v>
      </c>
      <c r="F71">
        <v>29.384567567567501</v>
      </c>
      <c r="G71">
        <v>0.16021878770093501</v>
      </c>
      <c r="H71">
        <v>3.2646972512960899E-2</v>
      </c>
      <c r="I71">
        <v>9.1664221200560794E-2</v>
      </c>
      <c r="J71">
        <v>3.5907593987413999E-2</v>
      </c>
      <c r="K71" t="s">
        <v>27</v>
      </c>
      <c r="L71" t="s">
        <v>29</v>
      </c>
      <c r="M71" t="s">
        <v>138</v>
      </c>
      <c r="N71" t="s">
        <v>138</v>
      </c>
      <c r="O71" t="s">
        <v>138</v>
      </c>
      <c r="P71" t="s">
        <v>138</v>
      </c>
      <c r="Q71" t="s">
        <v>138</v>
      </c>
      <c r="R71" t="s">
        <v>138</v>
      </c>
      <c r="S71" t="s">
        <v>138</v>
      </c>
      <c r="T71" t="s">
        <v>138</v>
      </c>
      <c r="U71" t="s">
        <v>138</v>
      </c>
      <c r="V71" s="4" t="s">
        <v>138</v>
      </c>
      <c r="W71" t="s">
        <v>138</v>
      </c>
      <c r="X71" t="s">
        <v>138</v>
      </c>
      <c r="Y71" t="s">
        <v>138</v>
      </c>
      <c r="Z71" t="s">
        <v>138</v>
      </c>
      <c r="AA71" t="s">
        <v>138</v>
      </c>
      <c r="AB71" t="s">
        <v>138</v>
      </c>
      <c r="AC71" t="s">
        <v>138</v>
      </c>
      <c r="AD71" t="s">
        <v>138</v>
      </c>
      <c r="AE71" t="s">
        <v>138</v>
      </c>
      <c r="AF71" t="s">
        <v>138</v>
      </c>
      <c r="AG71" t="s">
        <v>138</v>
      </c>
      <c r="AH71" t="s">
        <v>138</v>
      </c>
      <c r="AI71" t="s">
        <v>138</v>
      </c>
      <c r="AJ71" t="s">
        <v>138</v>
      </c>
      <c r="AK71" t="s">
        <v>138</v>
      </c>
      <c r="AL71" t="s">
        <v>138</v>
      </c>
      <c r="AM71" t="s">
        <v>138</v>
      </c>
      <c r="AN71" t="s">
        <v>138</v>
      </c>
      <c r="AO71" t="s">
        <v>138</v>
      </c>
      <c r="AP71" t="s">
        <v>138</v>
      </c>
      <c r="AQ71" t="s">
        <v>138</v>
      </c>
      <c r="AR71" t="s">
        <v>138</v>
      </c>
      <c r="AS71" t="s">
        <v>138</v>
      </c>
      <c r="AT71" t="s">
        <v>138</v>
      </c>
      <c r="AU71" t="s">
        <v>138</v>
      </c>
      <c r="AV71" t="s">
        <v>138</v>
      </c>
      <c r="AW71" t="s">
        <v>138</v>
      </c>
      <c r="AX71" t="s">
        <v>138</v>
      </c>
      <c r="AY71" t="s">
        <v>138</v>
      </c>
      <c r="AZ71" t="s">
        <v>138</v>
      </c>
      <c r="BA71" t="s">
        <v>138</v>
      </c>
      <c r="BB71" t="s">
        <v>138</v>
      </c>
      <c r="BC71" t="s">
        <v>138</v>
      </c>
      <c r="BD71" t="s">
        <v>138</v>
      </c>
      <c r="BE71" t="s">
        <v>138</v>
      </c>
      <c r="BF71" t="s">
        <v>138</v>
      </c>
      <c r="BG71" t="s">
        <v>138</v>
      </c>
      <c r="BH71" t="s">
        <v>138</v>
      </c>
      <c r="BI71" t="s">
        <v>138</v>
      </c>
      <c r="BJ71" t="s">
        <v>138</v>
      </c>
      <c r="BK71" t="s">
        <v>138</v>
      </c>
      <c r="BL71" t="s">
        <v>138</v>
      </c>
      <c r="BM71" t="s">
        <v>138</v>
      </c>
      <c r="BN71" t="s">
        <v>138</v>
      </c>
    </row>
    <row r="72" spans="1:66" x14ac:dyDescent="0.25">
      <c r="A72">
        <f>YEAR([1]chla!A72)</f>
        <v>2024</v>
      </c>
      <c r="B72">
        <f>MONTH([1]chla!A72)</f>
        <v>2</v>
      </c>
      <c r="C72">
        <f>DAY([1]chla!A72)</f>
        <v>11</v>
      </c>
      <c r="D72">
        <v>-64.550759999999997</v>
      </c>
      <c r="E72">
        <v>-52.733840000000001</v>
      </c>
      <c r="F72">
        <v>16.2557401574803</v>
      </c>
      <c r="G72">
        <v>0.16315334702794301</v>
      </c>
      <c r="H72">
        <v>1.55287097720825E-2</v>
      </c>
      <c r="I72">
        <v>0.115466757964067</v>
      </c>
      <c r="J72">
        <v>3.2157879291793E-2</v>
      </c>
      <c r="K72" t="s">
        <v>27</v>
      </c>
      <c r="L72" t="s">
        <v>29</v>
      </c>
      <c r="M72" t="s">
        <v>195</v>
      </c>
      <c r="N72" t="s">
        <v>27</v>
      </c>
      <c r="O72" s="3">
        <v>45333</v>
      </c>
      <c r="P72" t="s">
        <v>118</v>
      </c>
      <c r="Q72">
        <v>-64.585975466666596</v>
      </c>
      <c r="R72">
        <v>-52.7161597666666</v>
      </c>
      <c r="S72" t="s">
        <v>120</v>
      </c>
      <c r="T72">
        <v>20</v>
      </c>
      <c r="U72">
        <v>1685</v>
      </c>
      <c r="V72" s="4" t="s">
        <v>103</v>
      </c>
      <c r="W72">
        <v>2.8070250753673101E-2</v>
      </c>
      <c r="X72">
        <v>3.7081431672486209E-3</v>
      </c>
      <c r="Y72">
        <v>7.6228049632802497E-2</v>
      </c>
      <c r="Z72">
        <v>1.2600378801424761E-2</v>
      </c>
      <c r="AA72">
        <v>6.9523021349337539E-3</v>
      </c>
      <c r="AB72">
        <v>1.7900201209065159E-2</v>
      </c>
      <c r="AC72">
        <v>1.38385545836954E-3</v>
      </c>
      <c r="AD72">
        <v>1.650561220266188E-2</v>
      </c>
      <c r="AE72">
        <v>0.1809203896317193</v>
      </c>
      <c r="AF72">
        <v>0.19742600183438119</v>
      </c>
      <c r="AG72">
        <v>0.1694679912389713</v>
      </c>
      <c r="AH72">
        <v>0.26440117157767762</v>
      </c>
      <c r="AI72">
        <v>0.62189405872229431</v>
      </c>
      <c r="AJ72">
        <v>0.1137047697000281</v>
      </c>
      <c r="AK72">
        <v>5.2199666184907123E-2</v>
      </c>
      <c r="AL72">
        <v>0.1227780575780984</v>
      </c>
      <c r="AM72">
        <v>2.244827807137564E-2</v>
      </c>
      <c r="AN72">
        <v>0.18204093620539791</v>
      </c>
      <c r="AO72">
        <v>5.7770274555808861E-2</v>
      </c>
      <c r="AP72">
        <v>0.73350900292696009</v>
      </c>
      <c r="AQ72">
        <v>0.20872072251723101</v>
      </c>
      <c r="AR72">
        <v>1.140535433042783E-2</v>
      </c>
      <c r="AS72">
        <v>0.14481374975739311</v>
      </c>
      <c r="AT72">
        <v>4.1206897746560223E-2</v>
      </c>
      <c r="AU72">
        <v>0.20146922339739151</v>
      </c>
      <c r="AV72">
        <v>2.8177377352153268E-3</v>
      </c>
      <c r="AW72">
        <v>0.1652935732181488</v>
      </c>
      <c r="AX72">
        <v>0.58863534242298687</v>
      </c>
      <c r="AY72">
        <v>0.24607108435886441</v>
      </c>
      <c r="AZ72">
        <v>3.2633249289377657E-2</v>
      </c>
      <c r="BA72">
        <v>0.11621192219298219</v>
      </c>
      <c r="BB72">
        <v>4.8580830352021341E-2</v>
      </c>
      <c r="BC72">
        <v>0.16432261660024791</v>
      </c>
      <c r="BD72">
        <v>1.4512726899575411E-2</v>
      </c>
      <c r="BE72">
        <v>0.15365064287637251</v>
      </c>
      <c r="BF72">
        <v>0.71855689783235077</v>
      </c>
      <c r="BG72">
        <v>0.12779245929127669</v>
      </c>
      <c r="BH72">
        <v>3.0334632102364562E-2</v>
      </c>
      <c r="BI72">
        <v>0.14186181542955689</v>
      </c>
      <c r="BJ72">
        <v>2.522955430245968E-2</v>
      </c>
      <c r="BK72" t="s">
        <v>138</v>
      </c>
      <c r="BL72" t="s">
        <v>138</v>
      </c>
      <c r="BM72" t="s">
        <v>138</v>
      </c>
      <c r="BN72" t="s">
        <v>138</v>
      </c>
    </row>
    <row r="73" spans="1:66" x14ac:dyDescent="0.25">
      <c r="A73">
        <f>YEAR([1]chla!A73)</f>
        <v>2024</v>
      </c>
      <c r="B73">
        <f>MONTH([1]chla!A73)</f>
        <v>2</v>
      </c>
      <c r="C73">
        <f>DAY([1]chla!A73)</f>
        <v>11</v>
      </c>
      <c r="D73">
        <v>-64.550759999999997</v>
      </c>
      <c r="E73">
        <v>-52.733840000000001</v>
      </c>
      <c r="F73">
        <v>1.5726249999999899</v>
      </c>
      <c r="G73">
        <v>0.17538067755714201</v>
      </c>
      <c r="H73">
        <v>2.1723890573543299E-2</v>
      </c>
      <c r="I73">
        <v>0.112858260784505</v>
      </c>
      <c r="J73">
        <v>4.07985261990935E-2</v>
      </c>
      <c r="K73" t="s">
        <v>27</v>
      </c>
      <c r="L73" t="s">
        <v>29</v>
      </c>
      <c r="M73" t="s">
        <v>197</v>
      </c>
      <c r="N73" t="s">
        <v>27</v>
      </c>
      <c r="O73" t="s">
        <v>138</v>
      </c>
      <c r="P73" t="s">
        <v>138</v>
      </c>
      <c r="Q73" t="s">
        <v>138</v>
      </c>
      <c r="R73" t="s">
        <v>138</v>
      </c>
      <c r="S73" t="s">
        <v>138</v>
      </c>
      <c r="T73">
        <v>7</v>
      </c>
      <c r="U73" t="s">
        <v>138</v>
      </c>
      <c r="V73" t="s">
        <v>111</v>
      </c>
      <c r="W73">
        <v>1.0200000000000001E-2</v>
      </c>
      <c r="X73">
        <v>6.8999999999999999E-3</v>
      </c>
      <c r="Y73">
        <v>0.1149</v>
      </c>
      <c r="Z73">
        <v>6.0000000000000001E-3</v>
      </c>
      <c r="AA73">
        <v>1.78E-2</v>
      </c>
      <c r="AB73">
        <v>0</v>
      </c>
      <c r="AC73">
        <v>0</v>
      </c>
      <c r="AD73" t="s">
        <v>138</v>
      </c>
      <c r="AE73" t="s">
        <v>138</v>
      </c>
      <c r="AF73">
        <v>0.20219999999999999</v>
      </c>
      <c r="AG73">
        <v>0.182814</v>
      </c>
      <c r="AH73">
        <v>0.13188814861006271</v>
      </c>
      <c r="AI73">
        <v>0.86811185138993729</v>
      </c>
      <c r="AJ73">
        <v>0</v>
      </c>
      <c r="AK73">
        <v>2.6667783648954679E-2</v>
      </c>
      <c r="AL73">
        <v>0.17553221635104529</v>
      </c>
      <c r="AM73">
        <v>0</v>
      </c>
      <c r="AN73">
        <v>0.18278700000000001</v>
      </c>
      <c r="AO73">
        <v>0</v>
      </c>
      <c r="AP73">
        <v>0.91444139900539967</v>
      </c>
      <c r="AQ73">
        <v>8.555860099460029E-2</v>
      </c>
      <c r="AR73">
        <v>0</v>
      </c>
      <c r="AS73">
        <v>0.1849000508788918</v>
      </c>
      <c r="AT73">
        <v>1.7299949121108181E-2</v>
      </c>
      <c r="AU73">
        <v>0.20533999999999999</v>
      </c>
      <c r="AV73">
        <v>1.3531771616456341E-3</v>
      </c>
      <c r="AW73">
        <v>0</v>
      </c>
      <c r="AX73">
        <v>0.87395796367616341</v>
      </c>
      <c r="AY73">
        <v>0.12604203632383659</v>
      </c>
      <c r="AZ73">
        <v>0</v>
      </c>
      <c r="BA73">
        <v>0.1767143002553202</v>
      </c>
      <c r="BB73">
        <v>2.5485699744679749E-2</v>
      </c>
      <c r="BC73">
        <v>0.17013700000000001</v>
      </c>
      <c r="BD73">
        <v>8.3847973084113098E-3</v>
      </c>
      <c r="BE73">
        <v>0</v>
      </c>
      <c r="BF73">
        <v>0.94922466307114084</v>
      </c>
      <c r="BG73">
        <v>5.0775336928859077E-2</v>
      </c>
      <c r="BH73">
        <v>0</v>
      </c>
      <c r="BI73">
        <v>0.1919332268729847</v>
      </c>
      <c r="BJ73">
        <v>1.026677312701531E-2</v>
      </c>
      <c r="BK73">
        <v>3.0383561166256392</v>
      </c>
      <c r="BL73">
        <v>0.21597582789768899</v>
      </c>
      <c r="BM73">
        <v>0.40952733443478162</v>
      </c>
      <c r="BN73">
        <v>0.45489632161183252</v>
      </c>
    </row>
    <row r="74" spans="1:66" x14ac:dyDescent="0.25">
      <c r="A74">
        <f>YEAR([1]chla!A74)</f>
        <v>2024</v>
      </c>
      <c r="B74">
        <f>MONTH([1]chla!A74)</f>
        <v>2</v>
      </c>
      <c r="C74">
        <f>DAY([1]chla!A74)</f>
        <v>12</v>
      </c>
      <c r="D74">
        <v>-64.609189999999998</v>
      </c>
      <c r="E74">
        <v>-53.655360000000002</v>
      </c>
      <c r="F74">
        <v>201.576263157894</v>
      </c>
      <c r="G74">
        <v>2.6533307248361501E-2</v>
      </c>
      <c r="H74">
        <v>2.8122860217157301E-3</v>
      </c>
      <c r="I74">
        <v>1.8626300172812901E-2</v>
      </c>
      <c r="J74">
        <v>5.09472105383286E-3</v>
      </c>
      <c r="K74" t="s">
        <v>30</v>
      </c>
      <c r="L74" t="s">
        <v>31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 t="s">
        <v>138</v>
      </c>
      <c r="T74" t="s">
        <v>138</v>
      </c>
      <c r="U74" t="s">
        <v>138</v>
      </c>
      <c r="V74" s="4" t="s">
        <v>138</v>
      </c>
      <c r="W74" t="s">
        <v>138</v>
      </c>
      <c r="X74" t="s">
        <v>138</v>
      </c>
      <c r="Y74" t="s">
        <v>138</v>
      </c>
      <c r="Z74" t="s">
        <v>138</v>
      </c>
      <c r="AA74" t="s">
        <v>138</v>
      </c>
      <c r="AB74" t="s">
        <v>138</v>
      </c>
      <c r="AC74" t="s">
        <v>138</v>
      </c>
      <c r="AD74" t="s">
        <v>138</v>
      </c>
      <c r="AE74" t="s">
        <v>138</v>
      </c>
      <c r="AF74" t="s">
        <v>138</v>
      </c>
      <c r="AG74" t="s">
        <v>138</v>
      </c>
      <c r="AH74" t="s">
        <v>138</v>
      </c>
      <c r="AI74" t="s">
        <v>138</v>
      </c>
      <c r="AJ74" t="s">
        <v>138</v>
      </c>
      <c r="AK74" t="s">
        <v>138</v>
      </c>
      <c r="AL74" t="s">
        <v>138</v>
      </c>
      <c r="AM74" t="s">
        <v>138</v>
      </c>
      <c r="AN74" t="s">
        <v>138</v>
      </c>
      <c r="AO74" t="s">
        <v>138</v>
      </c>
      <c r="AP74" t="s">
        <v>138</v>
      </c>
      <c r="AQ74" t="s">
        <v>138</v>
      </c>
      <c r="AR74" t="s">
        <v>138</v>
      </c>
      <c r="AS74" t="s">
        <v>138</v>
      </c>
      <c r="AT74" t="s">
        <v>138</v>
      </c>
      <c r="AU74" t="s">
        <v>138</v>
      </c>
      <c r="AV74" t="s">
        <v>138</v>
      </c>
      <c r="AW74" t="s">
        <v>138</v>
      </c>
      <c r="AX74" t="s">
        <v>138</v>
      </c>
      <c r="AY74" t="s">
        <v>138</v>
      </c>
      <c r="AZ74" t="s">
        <v>138</v>
      </c>
      <c r="BA74" t="s">
        <v>138</v>
      </c>
      <c r="BB74" t="s">
        <v>138</v>
      </c>
      <c r="BC74" t="s">
        <v>138</v>
      </c>
      <c r="BD74" t="s">
        <v>138</v>
      </c>
      <c r="BE74" t="s">
        <v>138</v>
      </c>
      <c r="BF74" t="s">
        <v>138</v>
      </c>
      <c r="BG74" t="s">
        <v>138</v>
      </c>
      <c r="BH74" t="s">
        <v>138</v>
      </c>
      <c r="BI74" t="s">
        <v>138</v>
      </c>
      <c r="BJ74" t="s">
        <v>138</v>
      </c>
      <c r="BK74" t="s">
        <v>138</v>
      </c>
      <c r="BL74" t="s">
        <v>138</v>
      </c>
      <c r="BM74" t="s">
        <v>138</v>
      </c>
      <c r="BN74" t="s">
        <v>138</v>
      </c>
    </row>
    <row r="75" spans="1:66" x14ac:dyDescent="0.25">
      <c r="A75">
        <f>YEAR([1]chla!A75)</f>
        <v>2024</v>
      </c>
      <c r="B75">
        <f>MONTH([1]chla!A75)</f>
        <v>2</v>
      </c>
      <c r="C75">
        <f>DAY([1]chla!A75)</f>
        <v>12</v>
      </c>
      <c r="D75">
        <v>-64.609189999999998</v>
      </c>
      <c r="E75">
        <v>-53.655360000000002</v>
      </c>
      <c r="F75">
        <v>105.214972972973</v>
      </c>
      <c r="G75">
        <v>0.106092471225015</v>
      </c>
      <c r="H75">
        <v>7.2141250122273303E-3</v>
      </c>
      <c r="I75">
        <v>6.93289641005575E-2</v>
      </c>
      <c r="J75">
        <v>2.9549382112230502E-2</v>
      </c>
      <c r="K75" t="s">
        <v>30</v>
      </c>
      <c r="L75" t="s">
        <v>31</v>
      </c>
      <c r="M75" t="s">
        <v>195</v>
      </c>
      <c r="N75" t="s">
        <v>30</v>
      </c>
      <c r="O75" s="3">
        <v>45334</v>
      </c>
      <c r="P75" t="s">
        <v>121</v>
      </c>
      <c r="Q75">
        <v>-64.540471066666598</v>
      </c>
      <c r="R75">
        <v>-53.584821533333297</v>
      </c>
      <c r="S75" t="s">
        <v>122</v>
      </c>
      <c r="T75">
        <v>100</v>
      </c>
      <c r="U75">
        <v>1495</v>
      </c>
      <c r="V75" s="4" t="s">
        <v>103</v>
      </c>
      <c r="W75">
        <v>2.5087226773111499E-2</v>
      </c>
      <c r="X75">
        <v>1.196536206067363E-3</v>
      </c>
      <c r="Y75">
        <v>2.9799663521014281E-2</v>
      </c>
      <c r="Z75">
        <v>2.8021412493664691E-2</v>
      </c>
      <c r="AA75">
        <v>2.105849398760979E-3</v>
      </c>
      <c r="AB75">
        <v>3.2403622811664437E-2</v>
      </c>
      <c r="AC75">
        <v>7.1593675052283629E-4</v>
      </c>
      <c r="AD75">
        <v>5.4410822136249856E-3</v>
      </c>
      <c r="AE75">
        <v>0.14027006048126661</v>
      </c>
      <c r="AF75">
        <v>0.1457111426948916</v>
      </c>
      <c r="AG75">
        <v>0.1193200471296003</v>
      </c>
      <c r="AH75">
        <v>0.31059412640349621</v>
      </c>
      <c r="AI75">
        <v>0.40996109086846322</v>
      </c>
      <c r="AJ75">
        <v>0.27944478272804057</v>
      </c>
      <c r="AK75">
        <v>4.5257025072575043E-2</v>
      </c>
      <c r="AL75">
        <v>5.973589901088807E-2</v>
      </c>
      <c r="AM75">
        <v>4.0718218611428512E-2</v>
      </c>
      <c r="AN75">
        <v>0.13034074091733169</v>
      </c>
      <c r="AO75">
        <v>0.12519436722111771</v>
      </c>
      <c r="AP75">
        <v>0.61963504078514176</v>
      </c>
      <c r="AQ75">
        <v>0.25517059199374048</v>
      </c>
      <c r="AR75">
        <v>1.8242214306752949E-2</v>
      </c>
      <c r="AS75">
        <v>9.0287729846598774E-2</v>
      </c>
      <c r="AT75">
        <v>3.7181198541539881E-2</v>
      </c>
      <c r="AU75">
        <v>0.1599631870231355</v>
      </c>
      <c r="AV75">
        <v>5.3222337996032152E-3</v>
      </c>
      <c r="AW75">
        <v>0.36522792470280507</v>
      </c>
      <c r="AX75">
        <v>0.40840860079421581</v>
      </c>
      <c r="AY75">
        <v>0.22636347450297911</v>
      </c>
      <c r="AZ75">
        <v>5.3217778252529553E-2</v>
      </c>
      <c r="BA75">
        <v>5.9509683908147003E-2</v>
      </c>
      <c r="BB75">
        <v>3.2983680534215049E-2</v>
      </c>
      <c r="BC75">
        <v>0.13382428048578349</v>
      </c>
      <c r="BD75">
        <v>2.3725140437101989E-2</v>
      </c>
      <c r="BE75">
        <v>0.32415241465518962</v>
      </c>
      <c r="BF75">
        <v>0.65447956323437251</v>
      </c>
      <c r="BG75">
        <v>2.1368022110437909E-2</v>
      </c>
      <c r="BH75">
        <v>4.7232618746716012E-2</v>
      </c>
      <c r="BI75">
        <v>9.536496502933399E-2</v>
      </c>
      <c r="BJ75">
        <v>3.113558918841618E-3</v>
      </c>
      <c r="BK75" t="s">
        <v>138</v>
      </c>
      <c r="BL75" t="s">
        <v>138</v>
      </c>
      <c r="BM75" t="s">
        <v>138</v>
      </c>
      <c r="BN75" t="s">
        <v>138</v>
      </c>
    </row>
    <row r="76" spans="1:66" x14ac:dyDescent="0.25">
      <c r="A76">
        <f>YEAR([1]chla!A76)</f>
        <v>2024</v>
      </c>
      <c r="B76">
        <f>MONTH([1]chla!A76)</f>
        <v>2</v>
      </c>
      <c r="C76">
        <f>DAY([1]chla!A76)</f>
        <v>12</v>
      </c>
      <c r="D76">
        <v>-64.609189999999998</v>
      </c>
      <c r="E76">
        <v>-53.655360000000002</v>
      </c>
      <c r="F76">
        <v>69.802394736842004</v>
      </c>
      <c r="G76">
        <v>0.22820274544328101</v>
      </c>
      <c r="H76">
        <v>2.5962698490332201E-2</v>
      </c>
      <c r="I76">
        <v>0.15312693599400001</v>
      </c>
      <c r="J76">
        <v>4.91131109589487E-2</v>
      </c>
      <c r="K76" t="s">
        <v>30</v>
      </c>
      <c r="L76" t="s">
        <v>31</v>
      </c>
      <c r="M76" t="s">
        <v>138</v>
      </c>
      <c r="N76" t="s">
        <v>138</v>
      </c>
      <c r="O76" t="s">
        <v>138</v>
      </c>
      <c r="P76" t="s">
        <v>138</v>
      </c>
      <c r="Q76" t="s">
        <v>138</v>
      </c>
      <c r="R76" t="s">
        <v>138</v>
      </c>
      <c r="S76" t="s">
        <v>138</v>
      </c>
      <c r="T76" t="s">
        <v>138</v>
      </c>
      <c r="U76" t="s">
        <v>138</v>
      </c>
      <c r="V76" s="4" t="s">
        <v>138</v>
      </c>
      <c r="W76" t="s">
        <v>138</v>
      </c>
      <c r="X76" t="s">
        <v>138</v>
      </c>
      <c r="Y76" t="s">
        <v>138</v>
      </c>
      <c r="Z76" t="s">
        <v>138</v>
      </c>
      <c r="AA76" t="s">
        <v>138</v>
      </c>
      <c r="AB76" t="s">
        <v>138</v>
      </c>
      <c r="AC76" t="s">
        <v>138</v>
      </c>
      <c r="AD76" t="s">
        <v>138</v>
      </c>
      <c r="AE76" t="s">
        <v>138</v>
      </c>
      <c r="AF76" t="s">
        <v>138</v>
      </c>
      <c r="AG76" t="s">
        <v>138</v>
      </c>
      <c r="AH76" t="s">
        <v>138</v>
      </c>
      <c r="AI76" t="s">
        <v>138</v>
      </c>
      <c r="AJ76" t="s">
        <v>138</v>
      </c>
      <c r="AK76" t="s">
        <v>138</v>
      </c>
      <c r="AL76" t="s">
        <v>138</v>
      </c>
      <c r="AM76" t="s">
        <v>138</v>
      </c>
      <c r="AN76" t="s">
        <v>138</v>
      </c>
      <c r="AO76" t="s">
        <v>138</v>
      </c>
      <c r="AP76" t="s">
        <v>138</v>
      </c>
      <c r="AQ76" t="s">
        <v>138</v>
      </c>
      <c r="AR76" t="s">
        <v>138</v>
      </c>
      <c r="AS76" t="s">
        <v>138</v>
      </c>
      <c r="AT76" t="s">
        <v>138</v>
      </c>
      <c r="AU76" t="s">
        <v>138</v>
      </c>
      <c r="AV76" t="s">
        <v>138</v>
      </c>
      <c r="AW76" t="s">
        <v>138</v>
      </c>
      <c r="AX76" t="s">
        <v>138</v>
      </c>
      <c r="AY76" t="s">
        <v>138</v>
      </c>
      <c r="AZ76" t="s">
        <v>138</v>
      </c>
      <c r="BA76" t="s">
        <v>138</v>
      </c>
      <c r="BB76" t="s">
        <v>138</v>
      </c>
      <c r="BC76" t="s">
        <v>138</v>
      </c>
      <c r="BD76" t="s">
        <v>138</v>
      </c>
      <c r="BE76" t="s">
        <v>138</v>
      </c>
      <c r="BF76" t="s">
        <v>138</v>
      </c>
      <c r="BG76" t="s">
        <v>138</v>
      </c>
      <c r="BH76" t="s">
        <v>138</v>
      </c>
      <c r="BI76" t="s">
        <v>138</v>
      </c>
      <c r="BJ76" t="s">
        <v>138</v>
      </c>
      <c r="BK76" t="s">
        <v>138</v>
      </c>
      <c r="BL76" t="s">
        <v>138</v>
      </c>
      <c r="BM76" t="s">
        <v>138</v>
      </c>
      <c r="BN76" t="s">
        <v>138</v>
      </c>
    </row>
    <row r="77" spans="1:66" x14ac:dyDescent="0.25">
      <c r="A77">
        <f>YEAR([1]chla!A77)</f>
        <v>2024</v>
      </c>
      <c r="B77">
        <f>MONTH([1]chla!A77)</f>
        <v>2</v>
      </c>
      <c r="C77">
        <f>DAY([1]chla!A77)</f>
        <v>12</v>
      </c>
      <c r="D77">
        <v>-64.609189999999998</v>
      </c>
      <c r="E77">
        <v>-53.655360000000002</v>
      </c>
      <c r="F77">
        <v>69.802394736842004</v>
      </c>
      <c r="G77">
        <v>0.26569989239949099</v>
      </c>
      <c r="H77">
        <v>2.8571195669894599E-2</v>
      </c>
      <c r="I77">
        <v>0.168451856923929</v>
      </c>
      <c r="J77">
        <v>6.8676839805666898E-2</v>
      </c>
      <c r="K77" t="s">
        <v>30</v>
      </c>
      <c r="L77" t="s">
        <v>31</v>
      </c>
      <c r="M77" t="s">
        <v>138</v>
      </c>
      <c r="N77" t="s">
        <v>138</v>
      </c>
      <c r="O77" t="s">
        <v>138</v>
      </c>
      <c r="P77" t="s">
        <v>138</v>
      </c>
      <c r="Q77" t="s">
        <v>138</v>
      </c>
      <c r="R77" t="s">
        <v>138</v>
      </c>
      <c r="S77" t="s">
        <v>138</v>
      </c>
      <c r="T77" t="s">
        <v>138</v>
      </c>
      <c r="U77" t="s">
        <v>138</v>
      </c>
      <c r="V77" s="4" t="s">
        <v>138</v>
      </c>
      <c r="W77" t="s">
        <v>138</v>
      </c>
      <c r="X77" t="s">
        <v>138</v>
      </c>
      <c r="Y77" t="s">
        <v>138</v>
      </c>
      <c r="Z77" t="s">
        <v>138</v>
      </c>
      <c r="AA77" t="s">
        <v>138</v>
      </c>
      <c r="AB77" t="s">
        <v>138</v>
      </c>
      <c r="AC77" t="s">
        <v>138</v>
      </c>
      <c r="AD77" t="s">
        <v>138</v>
      </c>
      <c r="AE77" t="s">
        <v>138</v>
      </c>
      <c r="AF77" t="s">
        <v>138</v>
      </c>
      <c r="AG77" t="s">
        <v>138</v>
      </c>
      <c r="AH77" t="s">
        <v>138</v>
      </c>
      <c r="AI77" t="s">
        <v>138</v>
      </c>
      <c r="AJ77" t="s">
        <v>138</v>
      </c>
      <c r="AK77" t="s">
        <v>138</v>
      </c>
      <c r="AL77" t="s">
        <v>138</v>
      </c>
      <c r="AM77" t="s">
        <v>138</v>
      </c>
      <c r="AN77" t="s">
        <v>138</v>
      </c>
      <c r="AO77" t="s">
        <v>138</v>
      </c>
      <c r="AP77" t="s">
        <v>138</v>
      </c>
      <c r="AQ77" t="s">
        <v>138</v>
      </c>
      <c r="AR77" t="s">
        <v>138</v>
      </c>
      <c r="AS77" t="s">
        <v>138</v>
      </c>
      <c r="AT77" t="s">
        <v>138</v>
      </c>
      <c r="AU77" t="s">
        <v>138</v>
      </c>
      <c r="AV77" t="s">
        <v>138</v>
      </c>
      <c r="AW77" t="s">
        <v>138</v>
      </c>
      <c r="AX77" t="s">
        <v>138</v>
      </c>
      <c r="AY77" t="s">
        <v>138</v>
      </c>
      <c r="AZ77" t="s">
        <v>138</v>
      </c>
      <c r="BA77" t="s">
        <v>138</v>
      </c>
      <c r="BB77" t="s">
        <v>138</v>
      </c>
      <c r="BC77" t="s">
        <v>138</v>
      </c>
      <c r="BD77" t="s">
        <v>138</v>
      </c>
      <c r="BE77" t="s">
        <v>138</v>
      </c>
      <c r="BF77" t="s">
        <v>138</v>
      </c>
      <c r="BG77" t="s">
        <v>138</v>
      </c>
      <c r="BH77" t="s">
        <v>138</v>
      </c>
      <c r="BI77" t="s">
        <v>138</v>
      </c>
      <c r="BJ77" t="s">
        <v>138</v>
      </c>
      <c r="BK77" t="s">
        <v>138</v>
      </c>
      <c r="BL77" t="s">
        <v>138</v>
      </c>
      <c r="BM77" t="s">
        <v>138</v>
      </c>
      <c r="BN77" t="s">
        <v>138</v>
      </c>
    </row>
    <row r="78" spans="1:66" x14ac:dyDescent="0.25">
      <c r="A78">
        <f>YEAR([1]chla!A78)</f>
        <v>2024</v>
      </c>
      <c r="B78">
        <f>MONTH([1]chla!A78)</f>
        <v>2</v>
      </c>
      <c r="C78">
        <f>DAY([1]chla!A78)</f>
        <v>12</v>
      </c>
      <c r="D78">
        <v>-64.609189999999998</v>
      </c>
      <c r="E78">
        <v>-53.655360000000002</v>
      </c>
      <c r="F78">
        <v>69.802394736842004</v>
      </c>
      <c r="G78">
        <v>0.28624180768854501</v>
      </c>
      <c r="H78">
        <v>2.9712413185953201E-2</v>
      </c>
      <c r="I78">
        <v>0.18752649254947901</v>
      </c>
      <c r="J78">
        <v>6.9002901953112206E-2</v>
      </c>
      <c r="K78" t="s">
        <v>30</v>
      </c>
      <c r="L78" t="s">
        <v>32</v>
      </c>
      <c r="M78" t="s">
        <v>138</v>
      </c>
      <c r="N78" t="s">
        <v>138</v>
      </c>
      <c r="O78" t="s">
        <v>138</v>
      </c>
      <c r="P78" t="s">
        <v>138</v>
      </c>
      <c r="Q78" t="s">
        <v>138</v>
      </c>
      <c r="R78" t="s">
        <v>138</v>
      </c>
      <c r="S78" t="s">
        <v>138</v>
      </c>
      <c r="T78" t="s">
        <v>138</v>
      </c>
      <c r="U78" t="s">
        <v>138</v>
      </c>
      <c r="V78" s="4" t="s">
        <v>138</v>
      </c>
      <c r="W78" t="s">
        <v>138</v>
      </c>
      <c r="X78" t="s">
        <v>138</v>
      </c>
      <c r="Y78" t="s">
        <v>138</v>
      </c>
      <c r="Z78" t="s">
        <v>138</v>
      </c>
      <c r="AA78" t="s">
        <v>138</v>
      </c>
      <c r="AB78" t="s">
        <v>138</v>
      </c>
      <c r="AC78" t="s">
        <v>138</v>
      </c>
      <c r="AD78" t="s">
        <v>138</v>
      </c>
      <c r="AE78" t="s">
        <v>138</v>
      </c>
      <c r="AF78" t="s">
        <v>138</v>
      </c>
      <c r="AG78" t="s">
        <v>138</v>
      </c>
      <c r="AH78" t="s">
        <v>138</v>
      </c>
      <c r="AI78" t="s">
        <v>138</v>
      </c>
      <c r="AJ78" t="s">
        <v>138</v>
      </c>
      <c r="AK78" t="s">
        <v>138</v>
      </c>
      <c r="AL78" t="s">
        <v>138</v>
      </c>
      <c r="AM78" t="s">
        <v>138</v>
      </c>
      <c r="AN78" t="s">
        <v>138</v>
      </c>
      <c r="AO78" t="s">
        <v>138</v>
      </c>
      <c r="AP78" t="s">
        <v>138</v>
      </c>
      <c r="AQ78" t="s">
        <v>138</v>
      </c>
      <c r="AR78" t="s">
        <v>138</v>
      </c>
      <c r="AS78" t="s">
        <v>138</v>
      </c>
      <c r="AT78" t="s">
        <v>138</v>
      </c>
      <c r="AU78" t="s">
        <v>138</v>
      </c>
      <c r="AV78" t="s">
        <v>138</v>
      </c>
      <c r="AW78" t="s">
        <v>138</v>
      </c>
      <c r="AX78" t="s">
        <v>138</v>
      </c>
      <c r="AY78" t="s">
        <v>138</v>
      </c>
      <c r="AZ78" t="s">
        <v>138</v>
      </c>
      <c r="BA78" t="s">
        <v>138</v>
      </c>
      <c r="BB78" t="s">
        <v>138</v>
      </c>
      <c r="BC78" t="s">
        <v>138</v>
      </c>
      <c r="BD78" t="s">
        <v>138</v>
      </c>
      <c r="BE78" t="s">
        <v>138</v>
      </c>
      <c r="BF78" t="s">
        <v>138</v>
      </c>
      <c r="BG78" t="s">
        <v>138</v>
      </c>
      <c r="BH78" t="s">
        <v>138</v>
      </c>
      <c r="BI78" t="s">
        <v>138</v>
      </c>
      <c r="BJ78" t="s">
        <v>138</v>
      </c>
      <c r="BK78" t="s">
        <v>138</v>
      </c>
      <c r="BL78" t="s">
        <v>138</v>
      </c>
      <c r="BM78" t="s">
        <v>138</v>
      </c>
      <c r="BN78" t="s">
        <v>138</v>
      </c>
    </row>
    <row r="79" spans="1:66" x14ac:dyDescent="0.25">
      <c r="A79">
        <f>YEAR([1]chla!A79)</f>
        <v>2024</v>
      </c>
      <c r="B79">
        <f>MONTH([1]chla!A79)</f>
        <v>2</v>
      </c>
      <c r="C79">
        <f>DAY([1]chla!A79)</f>
        <v>12</v>
      </c>
      <c r="D79">
        <v>-64.609189999999998</v>
      </c>
      <c r="E79">
        <v>-53.655360000000002</v>
      </c>
      <c r="F79">
        <v>45.542078947368402</v>
      </c>
      <c r="G79">
        <v>0.204726270827219</v>
      </c>
      <c r="H79">
        <v>1.5691740845805199E-2</v>
      </c>
      <c r="I79">
        <v>0.100793961329029</v>
      </c>
      <c r="J79">
        <v>8.8240568652385096E-2</v>
      </c>
      <c r="K79" t="s">
        <v>30</v>
      </c>
      <c r="L79" t="s">
        <v>32</v>
      </c>
      <c r="M79" t="s">
        <v>195</v>
      </c>
      <c r="N79" t="s">
        <v>30</v>
      </c>
      <c r="O79" s="3">
        <v>45334</v>
      </c>
      <c r="P79" t="s">
        <v>121</v>
      </c>
      <c r="Q79">
        <v>-64.540471066666598</v>
      </c>
      <c r="R79">
        <v>-53.584821533333297</v>
      </c>
      <c r="S79" t="s">
        <v>123</v>
      </c>
      <c r="T79">
        <v>45</v>
      </c>
      <c r="U79">
        <v>1370</v>
      </c>
      <c r="V79" s="4" t="s">
        <v>103</v>
      </c>
      <c r="W79">
        <v>5.0425671690252832E-2</v>
      </c>
      <c r="X79">
        <v>4.415626381922666E-3</v>
      </c>
      <c r="Y79">
        <v>4.8510990989719387E-2</v>
      </c>
      <c r="Z79">
        <v>2.0859483993516961E-2</v>
      </c>
      <c r="AA79">
        <v>6.7578641803306833E-3</v>
      </c>
      <c r="AB79">
        <v>4.3907435796446348E-2</v>
      </c>
      <c r="AC79">
        <v>1.506405989370457E-3</v>
      </c>
      <c r="AD79">
        <v>1.557792247625959E-2</v>
      </c>
      <c r="AE79">
        <v>0.23754228949520551</v>
      </c>
      <c r="AF79">
        <v>0.25312021197146511</v>
      </c>
      <c r="AG79">
        <v>0.1959327460499099</v>
      </c>
      <c r="AH79">
        <v>0.39465700267412251</v>
      </c>
      <c r="AI79">
        <v>0.3723956200985758</v>
      </c>
      <c r="AJ79">
        <v>0.23294737722730141</v>
      </c>
      <c r="AK79">
        <v>9.989566417289697E-2</v>
      </c>
      <c r="AL79">
        <v>9.4260858296596695E-2</v>
      </c>
      <c r="AM79">
        <v>5.8963689501971367E-2</v>
      </c>
      <c r="AN79">
        <v>0.24155193700223179</v>
      </c>
      <c r="AO79">
        <v>9.4912225555703361E-2</v>
      </c>
      <c r="AP79">
        <v>0.62558355080546124</v>
      </c>
      <c r="AQ79">
        <v>0.27950422363883543</v>
      </c>
      <c r="AR79">
        <v>2.4024202651343141E-2</v>
      </c>
      <c r="AS79">
        <v>0.1583478409857402</v>
      </c>
      <c r="AT79">
        <v>7.0748168334381814E-2</v>
      </c>
      <c r="AU79">
        <v>0.25769450476925049</v>
      </c>
      <c r="AV79">
        <v>4.3954422272331874E-3</v>
      </c>
      <c r="AW79">
        <v>0.30936592155120202</v>
      </c>
      <c r="AX79">
        <v>0.35378424362634209</v>
      </c>
      <c r="AY79">
        <v>0.33684983482245612</v>
      </c>
      <c r="AZ79">
        <v>7.8306767639787889E-2</v>
      </c>
      <c r="BA79">
        <v>8.9549942738864186E-2</v>
      </c>
      <c r="BB79">
        <v>8.5263501592813096E-2</v>
      </c>
      <c r="BC79">
        <v>0.20644723225713141</v>
      </c>
      <c r="BD79">
        <v>2.0350545550331209E-2</v>
      </c>
      <c r="BE79">
        <v>0.28809816450068582</v>
      </c>
      <c r="BF79">
        <v>0.50305484095231734</v>
      </c>
      <c r="BG79">
        <v>0.20884699454699701</v>
      </c>
      <c r="BH79">
        <v>7.2923468467003608E-2</v>
      </c>
      <c r="BI79">
        <v>0.12733334797512219</v>
      </c>
      <c r="BJ79">
        <v>5.2863395529339288E-2</v>
      </c>
      <c r="BK79" t="s">
        <v>138</v>
      </c>
      <c r="BL79" t="s">
        <v>138</v>
      </c>
      <c r="BM79" t="s">
        <v>138</v>
      </c>
      <c r="BN79" t="s">
        <v>138</v>
      </c>
    </row>
    <row r="80" spans="1:66" x14ac:dyDescent="0.25">
      <c r="A80">
        <f>YEAR([1]chla!A80)</f>
        <v>2024</v>
      </c>
      <c r="B80">
        <f>MONTH([1]chla!A80)</f>
        <v>2</v>
      </c>
      <c r="C80">
        <f>DAY([1]chla!A80)</f>
        <v>12</v>
      </c>
      <c r="D80">
        <v>-64.609189999999998</v>
      </c>
      <c r="E80">
        <v>-53.655360000000002</v>
      </c>
      <c r="F80">
        <v>29.3953783783783</v>
      </c>
      <c r="G80">
        <v>0.21548632169291401</v>
      </c>
      <c r="H80">
        <v>3.5744562913691297E-2</v>
      </c>
      <c r="I80">
        <v>0.111717043268446</v>
      </c>
      <c r="J80">
        <v>6.8024715510776296E-2</v>
      </c>
      <c r="K80" t="s">
        <v>30</v>
      </c>
      <c r="L80" t="s">
        <v>32</v>
      </c>
      <c r="M80" t="s">
        <v>138</v>
      </c>
      <c r="N80" t="s">
        <v>138</v>
      </c>
      <c r="O80" t="s">
        <v>138</v>
      </c>
      <c r="P80" t="s">
        <v>138</v>
      </c>
      <c r="Q80" t="s">
        <v>138</v>
      </c>
      <c r="R80" t="s">
        <v>138</v>
      </c>
      <c r="S80" t="s">
        <v>138</v>
      </c>
      <c r="T80" t="s">
        <v>138</v>
      </c>
      <c r="U80" t="s">
        <v>138</v>
      </c>
      <c r="V80" s="4" t="s">
        <v>138</v>
      </c>
      <c r="W80" t="s">
        <v>138</v>
      </c>
      <c r="X80" t="s">
        <v>138</v>
      </c>
      <c r="Y80" t="s">
        <v>138</v>
      </c>
      <c r="Z80" t="s">
        <v>138</v>
      </c>
      <c r="AA80" t="s">
        <v>138</v>
      </c>
      <c r="AB80" t="s">
        <v>138</v>
      </c>
      <c r="AC80" t="s">
        <v>138</v>
      </c>
      <c r="AD80" t="s">
        <v>138</v>
      </c>
      <c r="AE80" t="s">
        <v>138</v>
      </c>
      <c r="AF80" t="s">
        <v>138</v>
      </c>
      <c r="AG80" t="s">
        <v>138</v>
      </c>
      <c r="AH80" t="s">
        <v>138</v>
      </c>
      <c r="AI80" t="s">
        <v>138</v>
      </c>
      <c r="AJ80" t="s">
        <v>138</v>
      </c>
      <c r="AK80" t="s">
        <v>138</v>
      </c>
      <c r="AL80" t="s">
        <v>138</v>
      </c>
      <c r="AM80" t="s">
        <v>138</v>
      </c>
      <c r="AN80" t="s">
        <v>138</v>
      </c>
      <c r="AO80" t="s">
        <v>138</v>
      </c>
      <c r="AP80" t="s">
        <v>138</v>
      </c>
      <c r="AQ80" t="s">
        <v>138</v>
      </c>
      <c r="AR80" t="s">
        <v>138</v>
      </c>
      <c r="AS80" t="s">
        <v>138</v>
      </c>
      <c r="AT80" t="s">
        <v>138</v>
      </c>
      <c r="AU80" t="s">
        <v>138</v>
      </c>
      <c r="AV80" t="s">
        <v>138</v>
      </c>
      <c r="AW80" t="s">
        <v>138</v>
      </c>
      <c r="AX80" t="s">
        <v>138</v>
      </c>
      <c r="AY80" t="s">
        <v>138</v>
      </c>
      <c r="AZ80" t="s">
        <v>138</v>
      </c>
      <c r="BA80" t="s">
        <v>138</v>
      </c>
      <c r="BB80" t="s">
        <v>138</v>
      </c>
      <c r="BC80" t="s">
        <v>138</v>
      </c>
      <c r="BD80" t="s">
        <v>138</v>
      </c>
      <c r="BE80" t="s">
        <v>138</v>
      </c>
      <c r="BF80" t="s">
        <v>138</v>
      </c>
      <c r="BG80" t="s">
        <v>138</v>
      </c>
      <c r="BH80" t="s">
        <v>138</v>
      </c>
      <c r="BI80" t="s">
        <v>138</v>
      </c>
      <c r="BJ80" t="s">
        <v>138</v>
      </c>
      <c r="BK80" t="s">
        <v>138</v>
      </c>
      <c r="BL80" t="s">
        <v>138</v>
      </c>
      <c r="BM80" t="s">
        <v>138</v>
      </c>
      <c r="BN80" t="s">
        <v>138</v>
      </c>
    </row>
    <row r="81" spans="1:66" x14ac:dyDescent="0.25">
      <c r="A81">
        <f>YEAR([1]chla!A81)</f>
        <v>2024</v>
      </c>
      <c r="B81">
        <f>MONTH([1]chla!A81)</f>
        <v>2</v>
      </c>
      <c r="C81">
        <f>DAY([1]chla!A81)</f>
        <v>12</v>
      </c>
      <c r="D81">
        <v>-64.609189999999998</v>
      </c>
      <c r="E81">
        <v>-53.655360000000002</v>
      </c>
      <c r="F81">
        <v>16.2721184210526</v>
      </c>
      <c r="G81">
        <v>0.231463366917734</v>
      </c>
      <c r="H81">
        <v>5.23737324334018E-2</v>
      </c>
      <c r="I81">
        <v>0.13046561674655099</v>
      </c>
      <c r="J81">
        <v>4.86240177377808E-2</v>
      </c>
      <c r="K81" t="s">
        <v>30</v>
      </c>
      <c r="L81" t="s">
        <v>32</v>
      </c>
      <c r="M81" t="s">
        <v>138</v>
      </c>
      <c r="N81" t="s">
        <v>138</v>
      </c>
      <c r="O81" t="s">
        <v>138</v>
      </c>
      <c r="P81" t="s">
        <v>138</v>
      </c>
      <c r="Q81" t="s">
        <v>138</v>
      </c>
      <c r="R81" t="s">
        <v>138</v>
      </c>
      <c r="S81" t="s">
        <v>138</v>
      </c>
      <c r="T81" t="s">
        <v>138</v>
      </c>
      <c r="U81" t="s">
        <v>138</v>
      </c>
      <c r="V81" s="4" t="s">
        <v>138</v>
      </c>
      <c r="W81" t="s">
        <v>138</v>
      </c>
      <c r="X81" t="s">
        <v>138</v>
      </c>
      <c r="Y81" t="s">
        <v>138</v>
      </c>
      <c r="Z81" t="s">
        <v>138</v>
      </c>
      <c r="AA81" t="s">
        <v>138</v>
      </c>
      <c r="AB81" t="s">
        <v>138</v>
      </c>
      <c r="AC81" t="s">
        <v>138</v>
      </c>
      <c r="AD81" t="s">
        <v>138</v>
      </c>
      <c r="AE81" t="s">
        <v>138</v>
      </c>
      <c r="AF81" t="s">
        <v>138</v>
      </c>
      <c r="AG81" t="s">
        <v>138</v>
      </c>
      <c r="AH81" t="s">
        <v>138</v>
      </c>
      <c r="AI81" t="s">
        <v>138</v>
      </c>
      <c r="AJ81" t="s">
        <v>138</v>
      </c>
      <c r="AK81" t="s">
        <v>138</v>
      </c>
      <c r="AL81" t="s">
        <v>138</v>
      </c>
      <c r="AM81" t="s">
        <v>138</v>
      </c>
      <c r="AN81" t="s">
        <v>138</v>
      </c>
      <c r="AO81" t="s">
        <v>138</v>
      </c>
      <c r="AP81" t="s">
        <v>138</v>
      </c>
      <c r="AQ81" t="s">
        <v>138</v>
      </c>
      <c r="AR81" t="s">
        <v>138</v>
      </c>
      <c r="AS81" t="s">
        <v>138</v>
      </c>
      <c r="AT81" t="s">
        <v>138</v>
      </c>
      <c r="AU81" t="s">
        <v>138</v>
      </c>
      <c r="AV81" t="s">
        <v>138</v>
      </c>
      <c r="AW81" t="s">
        <v>138</v>
      </c>
      <c r="AX81" t="s">
        <v>138</v>
      </c>
      <c r="AY81" t="s">
        <v>138</v>
      </c>
      <c r="AZ81" t="s">
        <v>138</v>
      </c>
      <c r="BA81" t="s">
        <v>138</v>
      </c>
      <c r="BB81" t="s">
        <v>138</v>
      </c>
      <c r="BC81" t="s">
        <v>138</v>
      </c>
      <c r="BD81" t="s">
        <v>138</v>
      </c>
      <c r="BE81" t="s">
        <v>138</v>
      </c>
      <c r="BF81" t="s">
        <v>138</v>
      </c>
      <c r="BG81" t="s">
        <v>138</v>
      </c>
      <c r="BH81" t="s">
        <v>138</v>
      </c>
      <c r="BI81" t="s">
        <v>138</v>
      </c>
      <c r="BJ81" t="s">
        <v>138</v>
      </c>
      <c r="BK81" t="s">
        <v>138</v>
      </c>
      <c r="BL81" t="s">
        <v>138</v>
      </c>
      <c r="BM81" t="s">
        <v>138</v>
      </c>
      <c r="BN81" t="s">
        <v>138</v>
      </c>
    </row>
    <row r="82" spans="1:66" x14ac:dyDescent="0.25">
      <c r="A82">
        <f>YEAR([1]chla!A82)</f>
        <v>2024</v>
      </c>
      <c r="B82">
        <f>MONTH([1]chla!A82)</f>
        <v>2</v>
      </c>
      <c r="C82">
        <f>DAY([1]chla!A82)</f>
        <v>12</v>
      </c>
      <c r="D82">
        <v>-64.609189999999998</v>
      </c>
      <c r="E82">
        <v>-53.655360000000002</v>
      </c>
      <c r="F82">
        <v>1.4479405940593999</v>
      </c>
      <c r="G82">
        <v>0.25868955622941697</v>
      </c>
      <c r="H82">
        <v>3.8679122240698999E-2</v>
      </c>
      <c r="I82">
        <v>0.14041051224363299</v>
      </c>
      <c r="J82">
        <v>7.9599921745084595E-2</v>
      </c>
      <c r="K82" t="s">
        <v>30</v>
      </c>
      <c r="L82" t="s">
        <v>32</v>
      </c>
      <c r="M82" t="s">
        <v>197</v>
      </c>
      <c r="N82" t="s">
        <v>30</v>
      </c>
      <c r="O82" t="s">
        <v>138</v>
      </c>
      <c r="P82" t="s">
        <v>138</v>
      </c>
      <c r="Q82" t="s">
        <v>138</v>
      </c>
      <c r="R82" t="s">
        <v>138</v>
      </c>
      <c r="S82" t="s">
        <v>138</v>
      </c>
      <c r="T82">
        <v>7</v>
      </c>
      <c r="U82" t="s">
        <v>138</v>
      </c>
      <c r="V82" t="s">
        <v>111</v>
      </c>
      <c r="W82">
        <v>4.1500000000000002E-2</v>
      </c>
      <c r="X82">
        <v>5.0000000000000001E-3</v>
      </c>
      <c r="Y82">
        <v>5.5500000000000001E-2</v>
      </c>
      <c r="Z82">
        <v>4.7000000000000002E-3</v>
      </c>
      <c r="AA82">
        <v>2.2499999999999999E-2</v>
      </c>
      <c r="AB82">
        <v>1.4500000000000001E-2</v>
      </c>
      <c r="AC82">
        <v>0</v>
      </c>
      <c r="AD82" t="s">
        <v>138</v>
      </c>
      <c r="AE82" t="s">
        <v>138</v>
      </c>
      <c r="AF82">
        <v>0.2092</v>
      </c>
      <c r="AG82">
        <v>0.16583999999999999</v>
      </c>
      <c r="AH82">
        <v>0.39535094066570181</v>
      </c>
      <c r="AI82">
        <v>0.5163410516160154</v>
      </c>
      <c r="AJ82">
        <v>8.8308007718282677E-2</v>
      </c>
      <c r="AK82">
        <v>8.2707416787264815E-2</v>
      </c>
      <c r="AL82">
        <v>0.1080185479980704</v>
      </c>
      <c r="AM82">
        <v>1.8474035214664741E-2</v>
      </c>
      <c r="AN82">
        <v>0.23664499999999999</v>
      </c>
      <c r="AO82">
        <v>2.8798411122144981E-2</v>
      </c>
      <c r="AP82">
        <v>0.73449682013142037</v>
      </c>
      <c r="AQ82">
        <v>0.23670476874643451</v>
      </c>
      <c r="AR82">
        <v>6.0246276067527299E-3</v>
      </c>
      <c r="AS82">
        <v>0.15365673477149311</v>
      </c>
      <c r="AT82">
        <v>4.9518637621754097E-2</v>
      </c>
      <c r="AU82">
        <v>0.21662500000000001</v>
      </c>
      <c r="AV82">
        <v>8.1351270513497858E-4</v>
      </c>
      <c r="AW82">
        <v>0.1191459896133872</v>
      </c>
      <c r="AX82">
        <v>0.51896370274407322</v>
      </c>
      <c r="AY82">
        <v>0.3618903076425396</v>
      </c>
      <c r="AZ82">
        <v>2.4925341027120601E-2</v>
      </c>
      <c r="BA82">
        <v>0.10856720661406009</v>
      </c>
      <c r="BB82">
        <v>7.5707452358819288E-2</v>
      </c>
      <c r="BC82">
        <v>0.173959</v>
      </c>
      <c r="BD82">
        <v>5.890359153384375E-3</v>
      </c>
      <c r="BE82">
        <v>0.109192395909381</v>
      </c>
      <c r="BF82">
        <v>0.59854027040509361</v>
      </c>
      <c r="BG82">
        <v>0.29226733368552538</v>
      </c>
      <c r="BH82">
        <v>2.28430492242425E-2</v>
      </c>
      <c r="BI82">
        <v>0.1252146245687456</v>
      </c>
      <c r="BJ82">
        <v>6.1142326207011918E-2</v>
      </c>
      <c r="BK82" t="s">
        <v>138</v>
      </c>
      <c r="BL82" t="s">
        <v>138</v>
      </c>
      <c r="BM82" t="s">
        <v>138</v>
      </c>
      <c r="BN82" t="s">
        <v>138</v>
      </c>
    </row>
    <row r="83" spans="1:66" x14ac:dyDescent="0.25">
      <c r="A83">
        <f>YEAR([1]chla!A83)</f>
        <v>2024</v>
      </c>
      <c r="B83">
        <f>MONTH([1]chla!A83)</f>
        <v>2</v>
      </c>
      <c r="C83">
        <f>DAY([1]chla!A83)</f>
        <v>13</v>
      </c>
      <c r="D83">
        <v>-64.555890000000005</v>
      </c>
      <c r="E83">
        <v>-53.990699999999997</v>
      </c>
      <c r="F83">
        <v>201.90997297297201</v>
      </c>
      <c r="G83">
        <v>2.90477915249262E-2</v>
      </c>
      <c r="H83">
        <v>8.6578555301182192E-3</v>
      </c>
      <c r="I83">
        <v>1.56153119609907E-2</v>
      </c>
      <c r="J83">
        <v>4.7746240338172796E-3</v>
      </c>
      <c r="K83" t="s">
        <v>33</v>
      </c>
      <c r="L83" t="s">
        <v>34</v>
      </c>
      <c r="M83" t="s">
        <v>138</v>
      </c>
      <c r="N83" t="s">
        <v>138</v>
      </c>
      <c r="O83" t="s">
        <v>138</v>
      </c>
      <c r="P83" t="s">
        <v>138</v>
      </c>
      <c r="Q83" t="s">
        <v>138</v>
      </c>
      <c r="R83" t="s">
        <v>138</v>
      </c>
      <c r="S83" t="s">
        <v>138</v>
      </c>
      <c r="T83" t="s">
        <v>138</v>
      </c>
      <c r="U83" t="s">
        <v>138</v>
      </c>
      <c r="V83" s="4" t="s">
        <v>138</v>
      </c>
      <c r="W83" t="s">
        <v>138</v>
      </c>
      <c r="X83" t="s">
        <v>138</v>
      </c>
      <c r="Y83" t="s">
        <v>138</v>
      </c>
      <c r="Z83" t="s">
        <v>138</v>
      </c>
      <c r="AA83" t="s">
        <v>138</v>
      </c>
      <c r="AB83" t="s">
        <v>138</v>
      </c>
      <c r="AC83" t="s">
        <v>138</v>
      </c>
      <c r="AD83" t="s">
        <v>138</v>
      </c>
      <c r="AE83" t="s">
        <v>138</v>
      </c>
      <c r="AF83" t="s">
        <v>138</v>
      </c>
      <c r="AG83" t="s">
        <v>138</v>
      </c>
      <c r="AH83" t="s">
        <v>138</v>
      </c>
      <c r="AI83" t="s">
        <v>138</v>
      </c>
      <c r="AJ83" t="s">
        <v>138</v>
      </c>
      <c r="AK83" t="s">
        <v>138</v>
      </c>
      <c r="AL83" t="s">
        <v>138</v>
      </c>
      <c r="AM83" t="s">
        <v>138</v>
      </c>
      <c r="AN83" t="s">
        <v>138</v>
      </c>
      <c r="AO83" t="s">
        <v>138</v>
      </c>
      <c r="AP83" t="s">
        <v>138</v>
      </c>
      <c r="AQ83" t="s">
        <v>138</v>
      </c>
      <c r="AR83" t="s">
        <v>138</v>
      </c>
      <c r="AS83" t="s">
        <v>138</v>
      </c>
      <c r="AT83" t="s">
        <v>138</v>
      </c>
      <c r="AU83" t="s">
        <v>138</v>
      </c>
      <c r="AV83" t="s">
        <v>138</v>
      </c>
      <c r="AW83" t="s">
        <v>138</v>
      </c>
      <c r="AX83" t="s">
        <v>138</v>
      </c>
      <c r="AY83" t="s">
        <v>138</v>
      </c>
      <c r="AZ83" t="s">
        <v>138</v>
      </c>
      <c r="BA83" t="s">
        <v>138</v>
      </c>
      <c r="BB83" t="s">
        <v>138</v>
      </c>
      <c r="BC83" t="s">
        <v>138</v>
      </c>
      <c r="BD83" t="s">
        <v>138</v>
      </c>
      <c r="BE83" t="s">
        <v>138</v>
      </c>
      <c r="BF83" t="s">
        <v>138</v>
      </c>
      <c r="BG83" t="s">
        <v>138</v>
      </c>
      <c r="BH83" t="s">
        <v>138</v>
      </c>
      <c r="BI83" t="s">
        <v>138</v>
      </c>
      <c r="BJ83" t="s">
        <v>138</v>
      </c>
      <c r="BK83" t="s">
        <v>138</v>
      </c>
      <c r="BL83" t="s">
        <v>138</v>
      </c>
      <c r="BM83" t="s">
        <v>138</v>
      </c>
      <c r="BN83" t="s">
        <v>138</v>
      </c>
    </row>
    <row r="84" spans="1:66" x14ac:dyDescent="0.25">
      <c r="A84">
        <f>YEAR([1]chla!A84)</f>
        <v>2024</v>
      </c>
      <c r="B84">
        <f>MONTH([1]chla!A84)</f>
        <v>2</v>
      </c>
      <c r="C84">
        <f>DAY([1]chla!A84)</f>
        <v>13</v>
      </c>
      <c r="D84">
        <v>-64.555890000000005</v>
      </c>
      <c r="E84">
        <v>-53.990699999999997</v>
      </c>
      <c r="F84">
        <v>70.166789473684204</v>
      </c>
      <c r="G84">
        <v>0.169005926704105</v>
      </c>
      <c r="H84">
        <v>3.8914700938796301E-2</v>
      </c>
      <c r="I84">
        <v>8.4219068395640598E-2</v>
      </c>
      <c r="J84">
        <v>4.5872157369668799E-2</v>
      </c>
      <c r="K84" t="s">
        <v>33</v>
      </c>
      <c r="L84" t="s">
        <v>34</v>
      </c>
      <c r="M84" t="s">
        <v>195</v>
      </c>
      <c r="N84" t="s">
        <v>33</v>
      </c>
      <c r="O84" s="3">
        <v>45335</v>
      </c>
      <c r="P84" t="s">
        <v>124</v>
      </c>
      <c r="Q84">
        <v>-64.575648950000001</v>
      </c>
      <c r="R84">
        <v>-53.901781083333297</v>
      </c>
      <c r="S84" t="s">
        <v>125</v>
      </c>
      <c r="T84">
        <v>97</v>
      </c>
      <c r="U84">
        <v>1800</v>
      </c>
      <c r="V84" s="4" t="s">
        <v>103</v>
      </c>
      <c r="W84">
        <v>1.959183893331163E-2</v>
      </c>
      <c r="X84">
        <v>1.337340748049367E-3</v>
      </c>
      <c r="Y84">
        <v>2.6862947673387511E-2</v>
      </c>
      <c r="Z84">
        <v>2.435172204282483E-2</v>
      </c>
      <c r="AA84">
        <v>1.9944293449959769E-3</v>
      </c>
      <c r="AB84">
        <v>2.9239862895379609E-2</v>
      </c>
      <c r="AC84">
        <v>7.930959591694515E-4</v>
      </c>
      <c r="AD84">
        <v>5.0700935259980146E-3</v>
      </c>
      <c r="AE84">
        <v>0.12622967857647691</v>
      </c>
      <c r="AF84">
        <v>0.1312997721024749</v>
      </c>
      <c r="AG84">
        <v>0.10356017126712649</v>
      </c>
      <c r="AH84">
        <v>0.28495649427422792</v>
      </c>
      <c r="AI84">
        <v>0.42328728632668189</v>
      </c>
      <c r="AJ84">
        <v>0.29175621939909019</v>
      </c>
      <c r="AK84">
        <v>3.741472275732631E-2</v>
      </c>
      <c r="AL84">
        <v>5.5577524228568383E-2</v>
      </c>
      <c r="AM84">
        <v>3.8307525116580213E-2</v>
      </c>
      <c r="AN84">
        <v>0.1104229427189326</v>
      </c>
      <c r="AO84">
        <v>0.1353726051008694</v>
      </c>
      <c r="AP84">
        <v>0.6282034162704716</v>
      </c>
      <c r="AQ84">
        <v>0.2364239786286588</v>
      </c>
      <c r="AR84">
        <v>1.7774392198662479E-2</v>
      </c>
      <c r="AS84">
        <v>8.2482965390309096E-2</v>
      </c>
      <c r="AT84">
        <v>3.10424145135033E-2</v>
      </c>
      <c r="AU84">
        <v>0.13920803131805631</v>
      </c>
      <c r="AV84">
        <v>4.3793742749267959E-3</v>
      </c>
      <c r="AW84">
        <v>0.37980406195467892</v>
      </c>
      <c r="AX84">
        <v>0.41544879685844849</v>
      </c>
      <c r="AY84">
        <v>0.20474714118687251</v>
      </c>
      <c r="AZ84">
        <v>4.9868186778243589E-2</v>
      </c>
      <c r="BA84">
        <v>5.4548332347761679E-2</v>
      </c>
      <c r="BB84">
        <v>2.688325297646961E-2</v>
      </c>
      <c r="BC84">
        <v>0.11658132148786279</v>
      </c>
      <c r="BD84">
        <v>1.959183893331163E-2</v>
      </c>
      <c r="BE84">
        <v>0.33740606675111973</v>
      </c>
      <c r="BF84">
        <v>0.65215503904873506</v>
      </c>
      <c r="BG84">
        <v>1.0438894200145271E-2</v>
      </c>
      <c r="BH84">
        <v>4.4301339670414448E-2</v>
      </c>
      <c r="BI84">
        <v>8.5627808002579534E-2</v>
      </c>
      <c r="BJ84">
        <v>1.3706244294809219E-3</v>
      </c>
      <c r="BK84" t="s">
        <v>138</v>
      </c>
      <c r="BL84" t="s">
        <v>138</v>
      </c>
      <c r="BM84" t="s">
        <v>138</v>
      </c>
      <c r="BN84" t="s">
        <v>138</v>
      </c>
    </row>
    <row r="85" spans="1:66" x14ac:dyDescent="0.25">
      <c r="A85">
        <f>YEAR([1]chla!A85)</f>
        <v>2024</v>
      </c>
      <c r="B85">
        <f>MONTH([1]chla!A85)</f>
        <v>2</v>
      </c>
      <c r="C85">
        <f>DAY([1]chla!A85)</f>
        <v>13</v>
      </c>
      <c r="D85">
        <v>-64.555890000000005</v>
      </c>
      <c r="E85">
        <v>-53.990699999999997</v>
      </c>
      <c r="F85">
        <v>44.756253333333298</v>
      </c>
      <c r="G85">
        <v>0.379509434066086</v>
      </c>
      <c r="H85">
        <v>0.13292126341174801</v>
      </c>
      <c r="I85">
        <v>0.17612221380809601</v>
      </c>
      <c r="J85">
        <v>7.0465956846241504E-2</v>
      </c>
      <c r="K85" t="s">
        <v>33</v>
      </c>
      <c r="L85" t="s">
        <v>35</v>
      </c>
      <c r="M85" t="s">
        <v>195</v>
      </c>
      <c r="N85" t="s">
        <v>33</v>
      </c>
      <c r="O85" s="3">
        <v>45335</v>
      </c>
      <c r="P85" t="s">
        <v>124</v>
      </c>
      <c r="Q85">
        <v>-64.575648950000001</v>
      </c>
      <c r="R85">
        <v>-53.901781083333297</v>
      </c>
      <c r="S85" t="s">
        <v>126</v>
      </c>
      <c r="T85">
        <v>48</v>
      </c>
      <c r="U85">
        <v>1540</v>
      </c>
      <c r="V85" s="4" t="s">
        <v>103</v>
      </c>
      <c r="W85">
        <v>0.12887541557321491</v>
      </c>
      <c r="X85">
        <v>9.2494105781002287E-3</v>
      </c>
      <c r="Y85">
        <v>4.1249680323839612E-2</v>
      </c>
      <c r="Z85">
        <v>2.0909208448464559E-2</v>
      </c>
      <c r="AA85">
        <v>6.2310462651562022E-3</v>
      </c>
      <c r="AB85">
        <v>7.9509561156405464E-2</v>
      </c>
      <c r="AC85">
        <v>1.8274677302064521E-3</v>
      </c>
      <c r="AD85">
        <v>2.224630058506245E-2</v>
      </c>
      <c r="AE85">
        <v>0.37515626082931858</v>
      </c>
      <c r="AF85">
        <v>0.39740256141438102</v>
      </c>
      <c r="AG85">
        <v>0.34007622861663411</v>
      </c>
      <c r="AH85">
        <v>0.572683382386311</v>
      </c>
      <c r="AI85">
        <v>0.18655801078896531</v>
      </c>
      <c r="AJ85">
        <v>0.2407586068247238</v>
      </c>
      <c r="AK85">
        <v>0.22758584303977139</v>
      </c>
      <c r="AL85">
        <v>7.4138631339906516E-2</v>
      </c>
      <c r="AM85">
        <v>9.5678087034703097E-2</v>
      </c>
      <c r="AN85">
        <v>0.4797167332236032</v>
      </c>
      <c r="AO85">
        <v>8.3689481548085046E-2</v>
      </c>
      <c r="AP85">
        <v>0.55801761768797775</v>
      </c>
      <c r="AQ85">
        <v>0.35829290076393733</v>
      </c>
      <c r="AR85">
        <v>3.3258414330650583E-2</v>
      </c>
      <c r="AS85">
        <v>0.22175763058355319</v>
      </c>
      <c r="AT85">
        <v>0.14238651650017731</v>
      </c>
      <c r="AU85">
        <v>0.45534622214881432</v>
      </c>
      <c r="AV85">
        <v>4.1915243069438361E-3</v>
      </c>
      <c r="AW85">
        <v>0.31498578075594991</v>
      </c>
      <c r="AX85">
        <v>0.17768800537567939</v>
      </c>
      <c r="AY85">
        <v>0.50732621386837073</v>
      </c>
      <c r="AZ85">
        <v>0.1251761560815231</v>
      </c>
      <c r="BA85">
        <v>7.0613668468907292E-2</v>
      </c>
      <c r="BB85">
        <v>0.20161273686395059</v>
      </c>
      <c r="BC85">
        <v>0.35167813591771752</v>
      </c>
      <c r="BD85">
        <v>1.974108737970676E-2</v>
      </c>
      <c r="BE85">
        <v>0.30292822408807712</v>
      </c>
      <c r="BF85">
        <v>0.2697162626513665</v>
      </c>
      <c r="BG85">
        <v>0.42735551326055632</v>
      </c>
      <c r="BH85">
        <v>0.1203844521773114</v>
      </c>
      <c r="BI85">
        <v>0.107185933632767</v>
      </c>
      <c r="BJ85">
        <v>0.16983217560430261</v>
      </c>
      <c r="BK85" t="s">
        <v>138</v>
      </c>
      <c r="BL85" t="s">
        <v>138</v>
      </c>
      <c r="BM85" t="s">
        <v>138</v>
      </c>
      <c r="BN85" t="s">
        <v>138</v>
      </c>
    </row>
    <row r="86" spans="1:66" x14ac:dyDescent="0.25">
      <c r="A86">
        <f>YEAR([1]chla!A86)</f>
        <v>2024</v>
      </c>
      <c r="B86">
        <f>MONTH([1]chla!A86)</f>
        <v>2</v>
      </c>
      <c r="C86">
        <f>DAY([1]chla!A86)</f>
        <v>13</v>
      </c>
      <c r="D86">
        <v>-64.555890000000005</v>
      </c>
      <c r="E86">
        <v>-53.990699999999997</v>
      </c>
      <c r="F86">
        <v>29.7337837837837</v>
      </c>
      <c r="G86">
        <v>0.31948114718576698</v>
      </c>
      <c r="H86">
        <v>0.14149673296607901</v>
      </c>
      <c r="I86">
        <v>0.13324486603644001</v>
      </c>
      <c r="J86">
        <v>4.4739548183247699E-2</v>
      </c>
      <c r="K86" t="s">
        <v>33</v>
      </c>
      <c r="L86" t="s">
        <v>35</v>
      </c>
      <c r="M86" t="s">
        <v>138</v>
      </c>
      <c r="N86" t="s">
        <v>138</v>
      </c>
      <c r="O86" t="s">
        <v>138</v>
      </c>
      <c r="P86" t="s">
        <v>138</v>
      </c>
      <c r="Q86" t="s">
        <v>138</v>
      </c>
      <c r="R86" t="s">
        <v>138</v>
      </c>
      <c r="S86" t="s">
        <v>138</v>
      </c>
      <c r="T86" t="s">
        <v>138</v>
      </c>
      <c r="U86" t="s">
        <v>138</v>
      </c>
      <c r="V86" s="4" t="s">
        <v>138</v>
      </c>
      <c r="W86" t="s">
        <v>138</v>
      </c>
      <c r="X86" t="s">
        <v>138</v>
      </c>
      <c r="Y86" t="s">
        <v>138</v>
      </c>
      <c r="Z86" t="s">
        <v>138</v>
      </c>
      <c r="AA86" t="s">
        <v>138</v>
      </c>
      <c r="AB86" t="s">
        <v>138</v>
      </c>
      <c r="AC86" t="s">
        <v>138</v>
      </c>
      <c r="AD86" t="s">
        <v>138</v>
      </c>
      <c r="AE86" t="s">
        <v>138</v>
      </c>
      <c r="AF86" t="s">
        <v>138</v>
      </c>
      <c r="AG86" t="s">
        <v>138</v>
      </c>
      <c r="AH86" t="s">
        <v>138</v>
      </c>
      <c r="AI86" t="s">
        <v>138</v>
      </c>
      <c r="AJ86" t="s">
        <v>138</v>
      </c>
      <c r="AK86" t="s">
        <v>138</v>
      </c>
      <c r="AL86" t="s">
        <v>138</v>
      </c>
      <c r="AM86" t="s">
        <v>138</v>
      </c>
      <c r="AN86" t="s">
        <v>138</v>
      </c>
      <c r="AO86" t="s">
        <v>138</v>
      </c>
      <c r="AP86" t="s">
        <v>138</v>
      </c>
      <c r="AQ86" t="s">
        <v>138</v>
      </c>
      <c r="AR86" t="s">
        <v>138</v>
      </c>
      <c r="AS86" t="s">
        <v>138</v>
      </c>
      <c r="AT86" t="s">
        <v>138</v>
      </c>
      <c r="AU86" t="s">
        <v>138</v>
      </c>
      <c r="AV86" t="s">
        <v>138</v>
      </c>
      <c r="AW86" t="s">
        <v>138</v>
      </c>
      <c r="AX86" t="s">
        <v>138</v>
      </c>
      <c r="AY86" t="s">
        <v>138</v>
      </c>
      <c r="AZ86" t="s">
        <v>138</v>
      </c>
      <c r="BA86" t="s">
        <v>138</v>
      </c>
      <c r="BB86" t="s">
        <v>138</v>
      </c>
      <c r="BC86" t="s">
        <v>138</v>
      </c>
      <c r="BD86" t="s">
        <v>138</v>
      </c>
      <c r="BE86" t="s">
        <v>138</v>
      </c>
      <c r="BF86" t="s">
        <v>138</v>
      </c>
      <c r="BG86" t="s">
        <v>138</v>
      </c>
      <c r="BH86" t="s">
        <v>138</v>
      </c>
      <c r="BI86" t="s">
        <v>138</v>
      </c>
      <c r="BJ86" t="s">
        <v>138</v>
      </c>
      <c r="BK86" t="s">
        <v>138</v>
      </c>
      <c r="BL86" t="s">
        <v>138</v>
      </c>
      <c r="BM86" t="s">
        <v>138</v>
      </c>
      <c r="BN86" t="s">
        <v>138</v>
      </c>
    </row>
    <row r="87" spans="1:66" x14ac:dyDescent="0.25">
      <c r="A87">
        <f>YEAR([1]chla!A87)</f>
        <v>2024</v>
      </c>
      <c r="B87">
        <f>MONTH([1]chla!A87)</f>
        <v>2</v>
      </c>
      <c r="C87">
        <f>DAY([1]chla!A87)</f>
        <v>13</v>
      </c>
      <c r="D87">
        <v>-64.555890000000005</v>
      </c>
      <c r="E87">
        <v>-53.990699999999997</v>
      </c>
      <c r="F87">
        <v>18.559395833333301</v>
      </c>
      <c r="G87">
        <v>0.26657211804866698</v>
      </c>
      <c r="H87">
        <v>7.4349188342542394E-2</v>
      </c>
      <c r="I87">
        <v>0.145541765774726</v>
      </c>
      <c r="J87">
        <v>4.6681163931398199E-2</v>
      </c>
      <c r="K87" t="s">
        <v>33</v>
      </c>
      <c r="L87" t="s">
        <v>35</v>
      </c>
      <c r="M87" t="s">
        <v>138</v>
      </c>
      <c r="N87" t="s">
        <v>138</v>
      </c>
      <c r="O87" t="s">
        <v>138</v>
      </c>
      <c r="P87" t="s">
        <v>138</v>
      </c>
      <c r="Q87" t="s">
        <v>138</v>
      </c>
      <c r="R87" t="s">
        <v>138</v>
      </c>
      <c r="S87" t="s">
        <v>138</v>
      </c>
      <c r="T87" t="s">
        <v>138</v>
      </c>
      <c r="U87" t="s">
        <v>138</v>
      </c>
      <c r="V87" s="4" t="s">
        <v>138</v>
      </c>
      <c r="W87" t="s">
        <v>138</v>
      </c>
      <c r="X87" t="s">
        <v>138</v>
      </c>
      <c r="Y87" t="s">
        <v>138</v>
      </c>
      <c r="Z87" t="s">
        <v>138</v>
      </c>
      <c r="AA87" t="s">
        <v>138</v>
      </c>
      <c r="AB87" t="s">
        <v>138</v>
      </c>
      <c r="AC87" t="s">
        <v>138</v>
      </c>
      <c r="AD87" t="s">
        <v>138</v>
      </c>
      <c r="AE87" t="s">
        <v>138</v>
      </c>
      <c r="AF87" t="s">
        <v>138</v>
      </c>
      <c r="AG87" t="s">
        <v>138</v>
      </c>
      <c r="AH87" t="s">
        <v>138</v>
      </c>
      <c r="AI87" t="s">
        <v>138</v>
      </c>
      <c r="AJ87" t="s">
        <v>138</v>
      </c>
      <c r="AK87" t="s">
        <v>138</v>
      </c>
      <c r="AL87" t="s">
        <v>138</v>
      </c>
      <c r="AM87" t="s">
        <v>138</v>
      </c>
      <c r="AN87" t="s">
        <v>138</v>
      </c>
      <c r="AO87" t="s">
        <v>138</v>
      </c>
      <c r="AP87" t="s">
        <v>138</v>
      </c>
      <c r="AQ87" t="s">
        <v>138</v>
      </c>
      <c r="AR87" t="s">
        <v>138</v>
      </c>
      <c r="AS87" t="s">
        <v>138</v>
      </c>
      <c r="AT87" t="s">
        <v>138</v>
      </c>
      <c r="AU87" t="s">
        <v>138</v>
      </c>
      <c r="AV87" t="s">
        <v>138</v>
      </c>
      <c r="AW87" t="s">
        <v>138</v>
      </c>
      <c r="AX87" t="s">
        <v>138</v>
      </c>
      <c r="AY87" t="s">
        <v>138</v>
      </c>
      <c r="AZ87" t="s">
        <v>138</v>
      </c>
      <c r="BA87" t="s">
        <v>138</v>
      </c>
      <c r="BB87" t="s">
        <v>138</v>
      </c>
      <c r="BC87" t="s">
        <v>138</v>
      </c>
      <c r="BD87" t="s">
        <v>138</v>
      </c>
      <c r="BE87" t="s">
        <v>138</v>
      </c>
      <c r="BF87" t="s">
        <v>138</v>
      </c>
      <c r="BG87" t="s">
        <v>138</v>
      </c>
      <c r="BH87" t="s">
        <v>138</v>
      </c>
      <c r="BI87" t="s">
        <v>138</v>
      </c>
      <c r="BJ87" t="s">
        <v>138</v>
      </c>
      <c r="BK87" t="s">
        <v>138</v>
      </c>
      <c r="BL87" t="s">
        <v>138</v>
      </c>
      <c r="BM87" t="s">
        <v>138</v>
      </c>
      <c r="BN87" t="s">
        <v>138</v>
      </c>
    </row>
    <row r="88" spans="1:66" x14ac:dyDescent="0.25">
      <c r="A88">
        <f>YEAR([1]chla!A88)</f>
        <v>2024</v>
      </c>
      <c r="B88">
        <f>MONTH([1]chla!A88)</f>
        <v>2</v>
      </c>
      <c r="C88">
        <f>DAY([1]chla!A88)</f>
        <v>13</v>
      </c>
      <c r="D88">
        <v>-64.555890000000005</v>
      </c>
      <c r="E88">
        <v>-53.990699999999997</v>
      </c>
      <c r="F88">
        <v>10.5340927835051</v>
      </c>
      <c r="G88">
        <v>0.28776808996597603</v>
      </c>
      <c r="H88">
        <v>9.0852922201821396E-2</v>
      </c>
      <c r="I88">
        <v>0.151366613019177</v>
      </c>
      <c r="J88">
        <v>4.5548554744977099E-2</v>
      </c>
      <c r="K88" t="s">
        <v>33</v>
      </c>
      <c r="L88" t="s">
        <v>35</v>
      </c>
      <c r="M88" t="s">
        <v>197</v>
      </c>
      <c r="N88" t="s">
        <v>33</v>
      </c>
      <c r="O88" t="s">
        <v>138</v>
      </c>
      <c r="P88" t="s">
        <v>138</v>
      </c>
      <c r="Q88" t="s">
        <v>138</v>
      </c>
      <c r="R88" t="s">
        <v>138</v>
      </c>
      <c r="S88" t="s">
        <v>138</v>
      </c>
      <c r="T88">
        <v>7</v>
      </c>
      <c r="U88" t="s">
        <v>138</v>
      </c>
      <c r="V88" t="s">
        <v>111</v>
      </c>
      <c r="W88">
        <v>7.4899999999999994E-2</v>
      </c>
      <c r="X88">
        <v>6.8999999999999999E-3</v>
      </c>
      <c r="Y88">
        <v>5.3999999999999999E-2</v>
      </c>
      <c r="Z88">
        <v>5.7000000000000002E-3</v>
      </c>
      <c r="AA88">
        <v>1.37E-2</v>
      </c>
      <c r="AB88">
        <v>1.8200000000000001E-2</v>
      </c>
      <c r="AC88">
        <v>0</v>
      </c>
      <c r="AD88" t="s">
        <v>138</v>
      </c>
      <c r="AE88" t="s">
        <v>138</v>
      </c>
      <c r="AF88">
        <v>0.21879999999999999</v>
      </c>
      <c r="AG88">
        <v>0.21251500000000001</v>
      </c>
      <c r="AH88">
        <v>0.54272874855892517</v>
      </c>
      <c r="AI88">
        <v>0.37077382772980738</v>
      </c>
      <c r="AJ88">
        <v>8.6497423711267465E-2</v>
      </c>
      <c r="AK88">
        <v>0.1187490501846928</v>
      </c>
      <c r="AL88">
        <v>8.112531350728186E-2</v>
      </c>
      <c r="AM88">
        <v>1.892563630802532E-2</v>
      </c>
      <c r="AN88">
        <v>0.30560199999999998</v>
      </c>
      <c r="AO88">
        <v>2.7990654511423348E-2</v>
      </c>
      <c r="AP88">
        <v>0.64349055307229663</v>
      </c>
      <c r="AQ88">
        <v>0.32851879241628001</v>
      </c>
      <c r="AR88">
        <v>6.1243552070994276E-3</v>
      </c>
      <c r="AS88">
        <v>0.14079573301221851</v>
      </c>
      <c r="AT88">
        <v>7.1879911780682051E-2</v>
      </c>
      <c r="AU88">
        <v>0.26741700000000002</v>
      </c>
      <c r="AV88">
        <v>1.0089203877505989E-3</v>
      </c>
      <c r="AW88">
        <v>0.1211441307022366</v>
      </c>
      <c r="AX88">
        <v>0.35884974206832793</v>
      </c>
      <c r="AY88">
        <v>0.5200061272294354</v>
      </c>
      <c r="AZ88">
        <v>2.6506335797649359E-2</v>
      </c>
      <c r="BA88">
        <v>7.8516323564550142E-2</v>
      </c>
      <c r="BB88">
        <v>0.1137773406378005</v>
      </c>
      <c r="BC88">
        <v>0.20916499999999999</v>
      </c>
      <c r="BD88">
        <v>6.9019590664463068E-3</v>
      </c>
      <c r="BE88">
        <v>0.113986565630005</v>
      </c>
      <c r="BF88">
        <v>0.43337339796992902</v>
      </c>
      <c r="BG88">
        <v>0.452640036400066</v>
      </c>
      <c r="BH88">
        <v>2.49402605598451E-2</v>
      </c>
      <c r="BI88">
        <v>9.4822099475820459E-2</v>
      </c>
      <c r="BJ88">
        <v>9.9037639964334442E-2</v>
      </c>
      <c r="BK88" t="s">
        <v>138</v>
      </c>
      <c r="BL88" t="s">
        <v>138</v>
      </c>
      <c r="BM88" t="s">
        <v>138</v>
      </c>
      <c r="BN88" t="s">
        <v>138</v>
      </c>
    </row>
    <row r="89" spans="1:66" x14ac:dyDescent="0.25">
      <c r="A89">
        <f>YEAR([1]chla!A89)</f>
        <v>2024</v>
      </c>
      <c r="B89">
        <f>MONTH([1]chla!A89)</f>
        <v>2</v>
      </c>
      <c r="C89">
        <f>DAY([1]chla!A89)</f>
        <v>13</v>
      </c>
      <c r="D89">
        <v>-64.555890000000005</v>
      </c>
      <c r="E89">
        <v>-53.990699999999997</v>
      </c>
      <c r="F89">
        <v>10.5340927835051</v>
      </c>
      <c r="G89">
        <v>0.27644199810176501</v>
      </c>
      <c r="H89">
        <v>8.4704472332678304E-2</v>
      </c>
      <c r="I89">
        <v>0.14845418939695201</v>
      </c>
      <c r="J89">
        <v>4.3283336372134898E-2</v>
      </c>
      <c r="K89" t="s">
        <v>33</v>
      </c>
      <c r="L89" t="s">
        <v>35</v>
      </c>
      <c r="M89" t="s">
        <v>197</v>
      </c>
      <c r="N89" t="s">
        <v>33</v>
      </c>
      <c r="O89" t="s">
        <v>138</v>
      </c>
      <c r="P89" t="s">
        <v>138</v>
      </c>
      <c r="Q89" t="s">
        <v>138</v>
      </c>
      <c r="R89" t="s">
        <v>138</v>
      </c>
      <c r="S89" t="s">
        <v>138</v>
      </c>
      <c r="T89">
        <v>7</v>
      </c>
      <c r="U89" t="s">
        <v>138</v>
      </c>
      <c r="V89" t="s">
        <v>111</v>
      </c>
      <c r="W89">
        <v>7.4899999999999994E-2</v>
      </c>
      <c r="X89">
        <v>6.8999999999999999E-3</v>
      </c>
      <c r="Y89">
        <v>5.3999999999999999E-2</v>
      </c>
      <c r="Z89">
        <v>5.7000000000000002E-3</v>
      </c>
      <c r="AA89">
        <v>1.37E-2</v>
      </c>
      <c r="AB89">
        <v>1.8200000000000001E-2</v>
      </c>
      <c r="AC89">
        <v>0</v>
      </c>
      <c r="AD89" t="s">
        <v>138</v>
      </c>
      <c r="AE89" t="s">
        <v>138</v>
      </c>
      <c r="AF89">
        <v>0.21879999999999999</v>
      </c>
      <c r="AG89">
        <v>0.21251500000000001</v>
      </c>
      <c r="AH89">
        <v>0.54272874855892517</v>
      </c>
      <c r="AI89">
        <v>0.37077382772980738</v>
      </c>
      <c r="AJ89">
        <v>8.6497423711267465E-2</v>
      </c>
      <c r="AK89">
        <v>0.1187490501846928</v>
      </c>
      <c r="AL89">
        <v>8.112531350728186E-2</v>
      </c>
      <c r="AM89">
        <v>1.892563630802532E-2</v>
      </c>
      <c r="AN89">
        <v>0.30560199999999998</v>
      </c>
      <c r="AO89">
        <v>2.7990654511423348E-2</v>
      </c>
      <c r="AP89">
        <v>0.64349055307229663</v>
      </c>
      <c r="AQ89">
        <v>0.32851879241628001</v>
      </c>
      <c r="AR89">
        <v>6.1243552070994276E-3</v>
      </c>
      <c r="AS89">
        <v>0.14079573301221851</v>
      </c>
      <c r="AT89">
        <v>7.1879911780682051E-2</v>
      </c>
      <c r="AU89">
        <v>0.26741700000000002</v>
      </c>
      <c r="AV89">
        <v>1.0089203877505989E-3</v>
      </c>
      <c r="AW89">
        <v>0.1211441307022366</v>
      </c>
      <c r="AX89">
        <v>0.35884974206832793</v>
      </c>
      <c r="AY89">
        <v>0.5200061272294354</v>
      </c>
      <c r="AZ89">
        <v>2.6506335797649359E-2</v>
      </c>
      <c r="BA89">
        <v>7.8516323564550142E-2</v>
      </c>
      <c r="BB89">
        <v>0.1137773406378005</v>
      </c>
      <c r="BC89">
        <v>0.20916499999999999</v>
      </c>
      <c r="BD89">
        <v>6.9019590664463068E-3</v>
      </c>
      <c r="BE89">
        <v>0.113986565630005</v>
      </c>
      <c r="BF89">
        <v>0.43337339796992902</v>
      </c>
      <c r="BG89">
        <v>0.452640036400066</v>
      </c>
      <c r="BH89">
        <v>2.49402605598451E-2</v>
      </c>
      <c r="BI89">
        <v>9.4822099475820459E-2</v>
      </c>
      <c r="BJ89">
        <v>9.9037639964334442E-2</v>
      </c>
      <c r="BK89" t="s">
        <v>138</v>
      </c>
      <c r="BL89" t="s">
        <v>138</v>
      </c>
      <c r="BM89" t="s">
        <v>138</v>
      </c>
      <c r="BN89" t="s">
        <v>138</v>
      </c>
    </row>
    <row r="90" spans="1:66" x14ac:dyDescent="0.25">
      <c r="A90">
        <f>YEAR([1]chla!A90)</f>
        <v>2024</v>
      </c>
      <c r="B90">
        <f>MONTH([1]chla!A90)</f>
        <v>2</v>
      </c>
      <c r="C90">
        <f>DAY([1]chla!A90)</f>
        <v>13</v>
      </c>
      <c r="D90">
        <v>-64.555890000000005</v>
      </c>
      <c r="E90">
        <v>-53.990699999999997</v>
      </c>
      <c r="F90">
        <v>10.5340927835051</v>
      </c>
      <c r="G90">
        <v>0.26916093904620098</v>
      </c>
      <c r="H90">
        <v>7.5158194904271794E-2</v>
      </c>
      <c r="I90">
        <v>0.14893959333398901</v>
      </c>
      <c r="J90">
        <v>4.5063150807939503E-2</v>
      </c>
      <c r="K90" t="s">
        <v>33</v>
      </c>
      <c r="L90" t="s">
        <v>35</v>
      </c>
      <c r="M90" t="s">
        <v>197</v>
      </c>
      <c r="N90" t="s">
        <v>33</v>
      </c>
      <c r="O90" t="s">
        <v>138</v>
      </c>
      <c r="P90" t="s">
        <v>138</v>
      </c>
      <c r="Q90" t="s">
        <v>138</v>
      </c>
      <c r="R90" t="s">
        <v>138</v>
      </c>
      <c r="S90" t="s">
        <v>138</v>
      </c>
      <c r="T90">
        <v>7</v>
      </c>
      <c r="U90" t="s">
        <v>138</v>
      </c>
      <c r="V90" t="s">
        <v>111</v>
      </c>
      <c r="W90">
        <v>7.4899999999999994E-2</v>
      </c>
      <c r="X90">
        <v>6.8999999999999999E-3</v>
      </c>
      <c r="Y90">
        <v>5.3999999999999999E-2</v>
      </c>
      <c r="Z90">
        <v>5.7000000000000002E-3</v>
      </c>
      <c r="AA90">
        <v>1.37E-2</v>
      </c>
      <c r="AB90">
        <v>1.8200000000000001E-2</v>
      </c>
      <c r="AC90">
        <v>0</v>
      </c>
      <c r="AD90" t="s">
        <v>138</v>
      </c>
      <c r="AE90" t="s">
        <v>138</v>
      </c>
      <c r="AF90">
        <v>0.21879999999999999</v>
      </c>
      <c r="AG90">
        <v>0.21251500000000001</v>
      </c>
      <c r="AH90">
        <v>0.54272874855892517</v>
      </c>
      <c r="AI90">
        <v>0.37077382772980738</v>
      </c>
      <c r="AJ90">
        <v>8.6497423711267465E-2</v>
      </c>
      <c r="AK90">
        <v>0.1187490501846928</v>
      </c>
      <c r="AL90">
        <v>8.112531350728186E-2</v>
      </c>
      <c r="AM90">
        <v>1.892563630802532E-2</v>
      </c>
      <c r="AN90">
        <v>0.30560199999999998</v>
      </c>
      <c r="AO90">
        <v>2.7990654511423348E-2</v>
      </c>
      <c r="AP90">
        <v>0.64349055307229663</v>
      </c>
      <c r="AQ90">
        <v>0.32851879241628001</v>
      </c>
      <c r="AR90">
        <v>6.1243552070994276E-3</v>
      </c>
      <c r="AS90">
        <v>0.14079573301221851</v>
      </c>
      <c r="AT90">
        <v>7.1879911780682051E-2</v>
      </c>
      <c r="AU90">
        <v>0.26741700000000002</v>
      </c>
      <c r="AV90">
        <v>1.0089203877505989E-3</v>
      </c>
      <c r="AW90">
        <v>0.1211441307022366</v>
      </c>
      <c r="AX90">
        <v>0.35884974206832793</v>
      </c>
      <c r="AY90">
        <v>0.5200061272294354</v>
      </c>
      <c r="AZ90">
        <v>2.6506335797649359E-2</v>
      </c>
      <c r="BA90">
        <v>7.8516323564550142E-2</v>
      </c>
      <c r="BB90">
        <v>0.1137773406378005</v>
      </c>
      <c r="BC90">
        <v>0.20916499999999999</v>
      </c>
      <c r="BD90">
        <v>6.9019590664463068E-3</v>
      </c>
      <c r="BE90">
        <v>0.113986565630005</v>
      </c>
      <c r="BF90">
        <v>0.43337339796992902</v>
      </c>
      <c r="BG90">
        <v>0.452640036400066</v>
      </c>
      <c r="BH90">
        <v>2.49402605598451E-2</v>
      </c>
      <c r="BI90">
        <v>9.4822099475820459E-2</v>
      </c>
      <c r="BJ90">
        <v>9.9037639964334442E-2</v>
      </c>
      <c r="BK90" t="s">
        <v>138</v>
      </c>
      <c r="BL90" t="s">
        <v>138</v>
      </c>
      <c r="BM90" t="s">
        <v>138</v>
      </c>
      <c r="BN90" t="s">
        <v>138</v>
      </c>
    </row>
    <row r="91" spans="1:66" x14ac:dyDescent="0.25">
      <c r="A91">
        <f>YEAR([1]chla!A91)</f>
        <v>2024</v>
      </c>
      <c r="B91">
        <f>MONTH([1]chla!A91)</f>
        <v>2</v>
      </c>
      <c r="C91">
        <f>DAY([1]chla!A91)</f>
        <v>13</v>
      </c>
      <c r="D91">
        <v>-64.555890000000005</v>
      </c>
      <c r="E91">
        <v>-53.990699999999997</v>
      </c>
      <c r="F91">
        <v>1.08703488372093</v>
      </c>
      <c r="G91">
        <v>0.26527770754989999</v>
      </c>
      <c r="H91">
        <v>5.8816262357338701E-2</v>
      </c>
      <c r="I91">
        <v>0.152013818268561</v>
      </c>
      <c r="J91">
        <v>5.4447626924000098E-2</v>
      </c>
      <c r="K91" t="s">
        <v>33</v>
      </c>
      <c r="L91" t="s">
        <v>35</v>
      </c>
      <c r="M91" t="s">
        <v>138</v>
      </c>
      <c r="N91" t="s">
        <v>138</v>
      </c>
      <c r="O91" t="s">
        <v>138</v>
      </c>
      <c r="P91" t="s">
        <v>138</v>
      </c>
      <c r="Q91" t="s">
        <v>138</v>
      </c>
      <c r="R91" t="s">
        <v>138</v>
      </c>
      <c r="S91" t="s">
        <v>138</v>
      </c>
      <c r="T91" t="s">
        <v>138</v>
      </c>
      <c r="U91" t="s">
        <v>138</v>
      </c>
      <c r="V91" t="s">
        <v>138</v>
      </c>
      <c r="W91" t="s">
        <v>138</v>
      </c>
      <c r="X91" t="s">
        <v>138</v>
      </c>
      <c r="Y91" t="s">
        <v>138</v>
      </c>
      <c r="Z91" t="s">
        <v>138</v>
      </c>
      <c r="AA91" t="s">
        <v>138</v>
      </c>
      <c r="AB91" t="s">
        <v>138</v>
      </c>
      <c r="AC91" t="s">
        <v>138</v>
      </c>
      <c r="AD91" t="s">
        <v>138</v>
      </c>
      <c r="AE91" t="s">
        <v>138</v>
      </c>
      <c r="AF91" t="s">
        <v>138</v>
      </c>
      <c r="AG91" t="s">
        <v>138</v>
      </c>
      <c r="AH91" t="s">
        <v>138</v>
      </c>
      <c r="AI91" t="s">
        <v>138</v>
      </c>
      <c r="AJ91" t="s">
        <v>138</v>
      </c>
      <c r="AK91" t="s">
        <v>138</v>
      </c>
      <c r="AL91" t="s">
        <v>138</v>
      </c>
      <c r="AM91" t="s">
        <v>138</v>
      </c>
      <c r="AN91" t="s">
        <v>138</v>
      </c>
      <c r="AO91" t="s">
        <v>138</v>
      </c>
      <c r="AP91" t="s">
        <v>138</v>
      </c>
      <c r="AQ91" t="s">
        <v>138</v>
      </c>
      <c r="AR91" t="s">
        <v>138</v>
      </c>
      <c r="AS91" t="s">
        <v>138</v>
      </c>
      <c r="AT91" t="s">
        <v>138</v>
      </c>
      <c r="AU91" t="s">
        <v>138</v>
      </c>
      <c r="AV91" t="s">
        <v>138</v>
      </c>
      <c r="AW91" t="s">
        <v>138</v>
      </c>
      <c r="AX91" t="s">
        <v>138</v>
      </c>
      <c r="AY91" t="s">
        <v>138</v>
      </c>
      <c r="AZ91" t="s">
        <v>138</v>
      </c>
      <c r="BA91" t="s">
        <v>138</v>
      </c>
      <c r="BB91" t="s">
        <v>138</v>
      </c>
      <c r="BC91" t="s">
        <v>138</v>
      </c>
      <c r="BD91" t="s">
        <v>138</v>
      </c>
      <c r="BE91" t="s">
        <v>138</v>
      </c>
      <c r="BF91" t="s">
        <v>138</v>
      </c>
      <c r="BG91" t="s">
        <v>138</v>
      </c>
      <c r="BH91" t="s">
        <v>138</v>
      </c>
      <c r="BI91" t="s">
        <v>138</v>
      </c>
      <c r="BJ91" t="s">
        <v>138</v>
      </c>
      <c r="BK91">
        <v>3.6444419155852579</v>
      </c>
      <c r="BL91">
        <v>0.16671253176850831</v>
      </c>
      <c r="BM91">
        <v>0.27460079055621661</v>
      </c>
      <c r="BN91">
        <v>0.28427924721098807</v>
      </c>
    </row>
    <row r="92" spans="1:66" x14ac:dyDescent="0.25">
      <c r="A92">
        <f>YEAR([1]chla!A92)</f>
        <v>2024</v>
      </c>
      <c r="B92">
        <f>MONTH([1]chla!A92)</f>
        <v>2</v>
      </c>
      <c r="C92">
        <f>DAY([1]chla!A92)</f>
        <v>14</v>
      </c>
      <c r="D92">
        <v>-64.555310000000006</v>
      </c>
      <c r="E92">
        <v>-54.255310000000001</v>
      </c>
      <c r="F92">
        <v>200.33510810810799</v>
      </c>
      <c r="G92">
        <v>0.11884751987688499</v>
      </c>
      <c r="H92">
        <v>3.3089853694344903E-2</v>
      </c>
      <c r="I92">
        <v>3.4546065505457801E-2</v>
      </c>
      <c r="J92">
        <v>5.1211600677082601E-2</v>
      </c>
      <c r="K92" t="s">
        <v>36</v>
      </c>
      <c r="L92" t="s">
        <v>36</v>
      </c>
      <c r="M92" t="s">
        <v>138</v>
      </c>
      <c r="N92" t="s">
        <v>138</v>
      </c>
      <c r="O92" t="s">
        <v>138</v>
      </c>
      <c r="P92" t="s">
        <v>138</v>
      </c>
      <c r="Q92" t="s">
        <v>138</v>
      </c>
      <c r="R92" t="s">
        <v>138</v>
      </c>
      <c r="S92" t="s">
        <v>138</v>
      </c>
      <c r="T92" t="s">
        <v>138</v>
      </c>
      <c r="U92" t="s">
        <v>138</v>
      </c>
      <c r="V92" t="s">
        <v>138</v>
      </c>
      <c r="W92" t="s">
        <v>138</v>
      </c>
      <c r="X92" t="s">
        <v>138</v>
      </c>
      <c r="Y92" t="s">
        <v>138</v>
      </c>
      <c r="Z92" t="s">
        <v>138</v>
      </c>
      <c r="AA92" t="s">
        <v>138</v>
      </c>
      <c r="AB92" t="s">
        <v>138</v>
      </c>
      <c r="AC92" t="s">
        <v>138</v>
      </c>
      <c r="AD92" t="s">
        <v>138</v>
      </c>
      <c r="AE92" t="s">
        <v>138</v>
      </c>
      <c r="AF92" t="s">
        <v>138</v>
      </c>
      <c r="AG92" t="s">
        <v>138</v>
      </c>
      <c r="AH92" t="s">
        <v>138</v>
      </c>
      <c r="AI92" t="s">
        <v>138</v>
      </c>
      <c r="AJ92" t="s">
        <v>138</v>
      </c>
      <c r="AK92" t="s">
        <v>138</v>
      </c>
      <c r="AL92" t="s">
        <v>138</v>
      </c>
      <c r="AM92" t="s">
        <v>138</v>
      </c>
      <c r="AN92" t="s">
        <v>138</v>
      </c>
      <c r="AO92" t="s">
        <v>138</v>
      </c>
      <c r="AP92" t="s">
        <v>138</v>
      </c>
      <c r="AQ92" t="s">
        <v>138</v>
      </c>
      <c r="AR92" t="s">
        <v>138</v>
      </c>
      <c r="AS92" t="s">
        <v>138</v>
      </c>
      <c r="AT92" t="s">
        <v>138</v>
      </c>
      <c r="AU92" t="s">
        <v>138</v>
      </c>
      <c r="AV92" t="s">
        <v>138</v>
      </c>
      <c r="AW92" t="s">
        <v>138</v>
      </c>
      <c r="AX92" t="s">
        <v>138</v>
      </c>
      <c r="AY92" t="s">
        <v>138</v>
      </c>
      <c r="AZ92" t="s">
        <v>138</v>
      </c>
      <c r="BA92" t="s">
        <v>138</v>
      </c>
      <c r="BB92" t="s">
        <v>138</v>
      </c>
      <c r="BC92" t="s">
        <v>138</v>
      </c>
      <c r="BD92" t="s">
        <v>138</v>
      </c>
      <c r="BE92" t="s">
        <v>138</v>
      </c>
      <c r="BF92" t="s">
        <v>138</v>
      </c>
      <c r="BG92" t="s">
        <v>138</v>
      </c>
      <c r="BH92" t="s">
        <v>138</v>
      </c>
      <c r="BI92" t="s">
        <v>138</v>
      </c>
      <c r="BJ92" t="s">
        <v>138</v>
      </c>
      <c r="BK92" t="s">
        <v>138</v>
      </c>
      <c r="BL92" t="s">
        <v>138</v>
      </c>
      <c r="BM92" t="s">
        <v>138</v>
      </c>
      <c r="BN92" t="s">
        <v>138</v>
      </c>
    </row>
    <row r="93" spans="1:66" x14ac:dyDescent="0.25">
      <c r="A93">
        <f>YEAR([1]chla!A93)</f>
        <v>2024</v>
      </c>
      <c r="B93">
        <f>MONTH([1]chla!A93)</f>
        <v>2</v>
      </c>
      <c r="C93">
        <f>DAY([1]chla!A93)</f>
        <v>14</v>
      </c>
      <c r="D93">
        <v>-64.555310000000006</v>
      </c>
      <c r="E93">
        <v>-54.255310000000001</v>
      </c>
      <c r="F93">
        <v>200.33510810810799</v>
      </c>
      <c r="G93">
        <v>0.126775784181833</v>
      </c>
      <c r="H93">
        <v>3.9238303563488099E-2</v>
      </c>
      <c r="I93">
        <v>3.4707866817803697E-2</v>
      </c>
      <c r="J93">
        <v>5.2829613800541401E-2</v>
      </c>
      <c r="K93" t="s">
        <v>36</v>
      </c>
      <c r="L93" t="s">
        <v>36</v>
      </c>
      <c r="M93" t="s">
        <v>138</v>
      </c>
      <c r="N93" t="s">
        <v>138</v>
      </c>
      <c r="O93" t="s">
        <v>138</v>
      </c>
      <c r="P93" t="s">
        <v>138</v>
      </c>
      <c r="Q93" t="s">
        <v>138</v>
      </c>
      <c r="R93" t="s">
        <v>138</v>
      </c>
      <c r="S93" t="s">
        <v>138</v>
      </c>
      <c r="T93" t="s">
        <v>138</v>
      </c>
      <c r="U93" t="s">
        <v>138</v>
      </c>
      <c r="V93" t="s">
        <v>138</v>
      </c>
      <c r="W93" t="s">
        <v>138</v>
      </c>
      <c r="X93" t="s">
        <v>138</v>
      </c>
      <c r="Y93" t="s">
        <v>138</v>
      </c>
      <c r="Z93" t="s">
        <v>138</v>
      </c>
      <c r="AA93" t="s">
        <v>138</v>
      </c>
      <c r="AB93" t="s">
        <v>138</v>
      </c>
      <c r="AC93" t="s">
        <v>138</v>
      </c>
      <c r="AD93" t="s">
        <v>138</v>
      </c>
      <c r="AE93" t="s">
        <v>138</v>
      </c>
      <c r="AF93" t="s">
        <v>138</v>
      </c>
      <c r="AG93" t="s">
        <v>138</v>
      </c>
      <c r="AH93" t="s">
        <v>138</v>
      </c>
      <c r="AI93" t="s">
        <v>138</v>
      </c>
      <c r="AJ93" t="s">
        <v>138</v>
      </c>
      <c r="AK93" t="s">
        <v>138</v>
      </c>
      <c r="AL93" t="s">
        <v>138</v>
      </c>
      <c r="AM93" t="s">
        <v>138</v>
      </c>
      <c r="AN93" t="s">
        <v>138</v>
      </c>
      <c r="AO93" t="s">
        <v>138</v>
      </c>
      <c r="AP93" t="s">
        <v>138</v>
      </c>
      <c r="AQ93" t="s">
        <v>138</v>
      </c>
      <c r="AR93" t="s">
        <v>138</v>
      </c>
      <c r="AS93" t="s">
        <v>138</v>
      </c>
      <c r="AT93" t="s">
        <v>138</v>
      </c>
      <c r="AU93" t="s">
        <v>138</v>
      </c>
      <c r="AV93" t="s">
        <v>138</v>
      </c>
      <c r="AW93" t="s">
        <v>138</v>
      </c>
      <c r="AX93" t="s">
        <v>138</v>
      </c>
      <c r="AY93" t="s">
        <v>138</v>
      </c>
      <c r="AZ93" t="s">
        <v>138</v>
      </c>
      <c r="BA93" t="s">
        <v>138</v>
      </c>
      <c r="BB93" t="s">
        <v>138</v>
      </c>
      <c r="BC93" t="s">
        <v>138</v>
      </c>
      <c r="BD93" t="s">
        <v>138</v>
      </c>
      <c r="BE93" t="s">
        <v>138</v>
      </c>
      <c r="BF93" t="s">
        <v>138</v>
      </c>
      <c r="BG93" t="s">
        <v>138</v>
      </c>
      <c r="BH93" t="s">
        <v>138</v>
      </c>
      <c r="BI93" t="s">
        <v>138</v>
      </c>
      <c r="BJ93" t="s">
        <v>138</v>
      </c>
      <c r="BK93" t="s">
        <v>138</v>
      </c>
      <c r="BL93" t="s">
        <v>138</v>
      </c>
      <c r="BM93" t="s">
        <v>138</v>
      </c>
      <c r="BN93" t="s">
        <v>138</v>
      </c>
    </row>
    <row r="94" spans="1:66" x14ac:dyDescent="0.25">
      <c r="A94">
        <f>YEAR([1]chla!A94)</f>
        <v>2024</v>
      </c>
      <c r="B94">
        <f>MONTH([1]chla!A94)</f>
        <v>2</v>
      </c>
      <c r="C94">
        <f>DAY([1]chla!A94)</f>
        <v>14</v>
      </c>
      <c r="D94">
        <v>-64.555310000000006</v>
      </c>
      <c r="E94">
        <v>-54.255310000000001</v>
      </c>
      <c r="F94">
        <v>200.33510810810799</v>
      </c>
      <c r="G94">
        <v>0.124186963184299</v>
      </c>
      <c r="H94">
        <v>3.0986436633848601E-2</v>
      </c>
      <c r="I94">
        <v>3.6973085190645898E-2</v>
      </c>
      <c r="J94">
        <v>5.6227441359804703E-2</v>
      </c>
      <c r="K94" t="s">
        <v>36</v>
      </c>
      <c r="L94" t="s">
        <v>36</v>
      </c>
      <c r="M94" t="s">
        <v>138</v>
      </c>
      <c r="N94" t="s">
        <v>138</v>
      </c>
      <c r="O94" t="s">
        <v>138</v>
      </c>
      <c r="P94" t="s">
        <v>138</v>
      </c>
      <c r="Q94" t="s">
        <v>138</v>
      </c>
      <c r="R94" t="s">
        <v>138</v>
      </c>
      <c r="S94" t="s">
        <v>138</v>
      </c>
      <c r="T94" t="s">
        <v>138</v>
      </c>
      <c r="U94" t="s">
        <v>138</v>
      </c>
      <c r="V94" t="s">
        <v>138</v>
      </c>
      <c r="W94" t="s">
        <v>138</v>
      </c>
      <c r="X94" t="s">
        <v>138</v>
      </c>
      <c r="Y94" t="s">
        <v>138</v>
      </c>
      <c r="Z94" t="s">
        <v>138</v>
      </c>
      <c r="AA94" t="s">
        <v>138</v>
      </c>
      <c r="AB94" t="s">
        <v>138</v>
      </c>
      <c r="AC94" t="s">
        <v>138</v>
      </c>
      <c r="AD94" t="s">
        <v>138</v>
      </c>
      <c r="AE94" t="s">
        <v>138</v>
      </c>
      <c r="AF94" t="s">
        <v>138</v>
      </c>
      <c r="AG94" t="s">
        <v>138</v>
      </c>
      <c r="AH94" t="s">
        <v>138</v>
      </c>
      <c r="AI94" t="s">
        <v>138</v>
      </c>
      <c r="AJ94" t="s">
        <v>138</v>
      </c>
      <c r="AK94" t="s">
        <v>138</v>
      </c>
      <c r="AL94" t="s">
        <v>138</v>
      </c>
      <c r="AM94" t="s">
        <v>138</v>
      </c>
      <c r="AN94" t="s">
        <v>138</v>
      </c>
      <c r="AO94" t="s">
        <v>138</v>
      </c>
      <c r="AP94" t="s">
        <v>138</v>
      </c>
      <c r="AQ94" t="s">
        <v>138</v>
      </c>
      <c r="AR94" t="s">
        <v>138</v>
      </c>
      <c r="AS94" t="s">
        <v>138</v>
      </c>
      <c r="AT94" t="s">
        <v>138</v>
      </c>
      <c r="AU94" t="s">
        <v>138</v>
      </c>
      <c r="AV94" t="s">
        <v>138</v>
      </c>
      <c r="AW94" t="s">
        <v>138</v>
      </c>
      <c r="AX94" t="s">
        <v>138</v>
      </c>
      <c r="AY94" t="s">
        <v>138</v>
      </c>
      <c r="AZ94" t="s">
        <v>138</v>
      </c>
      <c r="BA94" t="s">
        <v>138</v>
      </c>
      <c r="BB94" t="s">
        <v>138</v>
      </c>
      <c r="BC94" t="s">
        <v>138</v>
      </c>
      <c r="BD94" t="s">
        <v>138</v>
      </c>
      <c r="BE94" t="s">
        <v>138</v>
      </c>
      <c r="BF94" t="s">
        <v>138</v>
      </c>
      <c r="BG94" t="s">
        <v>138</v>
      </c>
      <c r="BH94" t="s">
        <v>138</v>
      </c>
      <c r="BI94" t="s">
        <v>138</v>
      </c>
      <c r="BJ94" t="s">
        <v>138</v>
      </c>
      <c r="BK94" t="s">
        <v>138</v>
      </c>
      <c r="BL94" t="s">
        <v>138</v>
      </c>
      <c r="BM94" t="s">
        <v>138</v>
      </c>
      <c r="BN94" t="s">
        <v>138</v>
      </c>
    </row>
    <row r="95" spans="1:66" x14ac:dyDescent="0.25">
      <c r="A95">
        <f>YEAR([1]chla!A95)</f>
        <v>2024</v>
      </c>
      <c r="B95">
        <f>MONTH([1]chla!A95)</f>
        <v>2</v>
      </c>
      <c r="C95">
        <f>DAY([1]chla!A95)</f>
        <v>14</v>
      </c>
      <c r="D95">
        <v>-64.555310000000006</v>
      </c>
      <c r="E95">
        <v>-54.255310000000001</v>
      </c>
      <c r="F95">
        <v>88.139891891891807</v>
      </c>
      <c r="G95">
        <v>0.38274546031300299</v>
      </c>
      <c r="H95">
        <v>0.13389207128582301</v>
      </c>
      <c r="I95">
        <v>0.19003712666984099</v>
      </c>
      <c r="J95">
        <v>5.8816262357338701E-2</v>
      </c>
      <c r="K95" t="s">
        <v>36</v>
      </c>
      <c r="L95" t="s">
        <v>36</v>
      </c>
      <c r="M95" t="s">
        <v>138</v>
      </c>
      <c r="N95" t="s">
        <v>138</v>
      </c>
      <c r="O95" t="s">
        <v>138</v>
      </c>
      <c r="P95" t="s">
        <v>138</v>
      </c>
      <c r="Q95" t="s">
        <v>138</v>
      </c>
      <c r="R95" t="s">
        <v>138</v>
      </c>
      <c r="S95" t="s">
        <v>138</v>
      </c>
      <c r="T95" t="s">
        <v>138</v>
      </c>
      <c r="U95" t="s">
        <v>138</v>
      </c>
      <c r="V95" t="s">
        <v>138</v>
      </c>
      <c r="W95" t="s">
        <v>138</v>
      </c>
      <c r="X95" t="s">
        <v>138</v>
      </c>
      <c r="Y95" t="s">
        <v>138</v>
      </c>
      <c r="Z95" t="s">
        <v>138</v>
      </c>
      <c r="AA95" t="s">
        <v>138</v>
      </c>
      <c r="AB95" t="s">
        <v>138</v>
      </c>
      <c r="AC95" t="s">
        <v>138</v>
      </c>
      <c r="AD95" t="s">
        <v>138</v>
      </c>
      <c r="AE95" t="s">
        <v>138</v>
      </c>
      <c r="AF95" t="s">
        <v>138</v>
      </c>
      <c r="AG95" t="s">
        <v>138</v>
      </c>
      <c r="AH95" t="s">
        <v>138</v>
      </c>
      <c r="AI95" t="s">
        <v>138</v>
      </c>
      <c r="AJ95" t="s">
        <v>138</v>
      </c>
      <c r="AK95" t="s">
        <v>138</v>
      </c>
      <c r="AL95" t="s">
        <v>138</v>
      </c>
      <c r="AM95" t="s">
        <v>138</v>
      </c>
      <c r="AN95" t="s">
        <v>138</v>
      </c>
      <c r="AO95" t="s">
        <v>138</v>
      </c>
      <c r="AP95" t="s">
        <v>138</v>
      </c>
      <c r="AQ95" t="s">
        <v>138</v>
      </c>
      <c r="AR95" t="s">
        <v>138</v>
      </c>
      <c r="AS95" t="s">
        <v>138</v>
      </c>
      <c r="AT95" t="s">
        <v>138</v>
      </c>
      <c r="AU95" t="s">
        <v>138</v>
      </c>
      <c r="AV95" t="s">
        <v>138</v>
      </c>
      <c r="AW95" t="s">
        <v>138</v>
      </c>
      <c r="AX95" t="s">
        <v>138</v>
      </c>
      <c r="AY95" t="s">
        <v>138</v>
      </c>
      <c r="AZ95" t="s">
        <v>138</v>
      </c>
      <c r="BA95" t="s">
        <v>138</v>
      </c>
      <c r="BB95" t="s">
        <v>138</v>
      </c>
      <c r="BC95" t="s">
        <v>138</v>
      </c>
      <c r="BD95" t="s">
        <v>138</v>
      </c>
      <c r="BE95" t="s">
        <v>138</v>
      </c>
      <c r="BF95" t="s">
        <v>138</v>
      </c>
      <c r="BG95" t="s">
        <v>138</v>
      </c>
      <c r="BH95" t="s">
        <v>138</v>
      </c>
      <c r="BI95" t="s">
        <v>138</v>
      </c>
      <c r="BJ95" t="s">
        <v>138</v>
      </c>
      <c r="BK95" t="s">
        <v>138</v>
      </c>
      <c r="BL95" t="s">
        <v>138</v>
      </c>
      <c r="BM95" t="s">
        <v>138</v>
      </c>
      <c r="BN95" t="s">
        <v>138</v>
      </c>
    </row>
    <row r="96" spans="1:66" x14ac:dyDescent="0.25">
      <c r="A96">
        <f>YEAR([1]chla!A96)</f>
        <v>2024</v>
      </c>
      <c r="B96">
        <f>MONTH([1]chla!A96)</f>
        <v>2</v>
      </c>
      <c r="C96">
        <f>DAY([1]chla!A96)</f>
        <v>14</v>
      </c>
      <c r="D96">
        <v>-64.555310000000006</v>
      </c>
      <c r="E96">
        <v>-54.255310000000001</v>
      </c>
      <c r="F96">
        <v>58.778729729729697</v>
      </c>
      <c r="G96">
        <v>0.58273188237250195</v>
      </c>
      <c r="H96">
        <v>0.203628436906894</v>
      </c>
      <c r="I96">
        <v>0.32125799098234298</v>
      </c>
      <c r="J96">
        <v>5.7845454483263399E-2</v>
      </c>
      <c r="K96" t="s">
        <v>36</v>
      </c>
      <c r="L96" t="s">
        <v>36</v>
      </c>
      <c r="M96" t="s">
        <v>138</v>
      </c>
      <c r="N96" t="s">
        <v>138</v>
      </c>
      <c r="O96" t="s">
        <v>138</v>
      </c>
      <c r="P96" t="s">
        <v>138</v>
      </c>
      <c r="Q96" t="s">
        <v>138</v>
      </c>
      <c r="R96" t="s">
        <v>138</v>
      </c>
      <c r="S96" t="s">
        <v>138</v>
      </c>
      <c r="T96" t="s">
        <v>138</v>
      </c>
      <c r="U96" t="s">
        <v>138</v>
      </c>
      <c r="V96" t="s">
        <v>138</v>
      </c>
      <c r="W96" t="s">
        <v>138</v>
      </c>
      <c r="X96" t="s">
        <v>138</v>
      </c>
      <c r="Y96" t="s">
        <v>138</v>
      </c>
      <c r="Z96" t="s">
        <v>138</v>
      </c>
      <c r="AA96" t="s">
        <v>138</v>
      </c>
      <c r="AB96" t="s">
        <v>138</v>
      </c>
      <c r="AC96" t="s">
        <v>138</v>
      </c>
      <c r="AD96" t="s">
        <v>138</v>
      </c>
      <c r="AE96" t="s">
        <v>138</v>
      </c>
      <c r="AF96" t="s">
        <v>138</v>
      </c>
      <c r="AG96" t="s">
        <v>138</v>
      </c>
      <c r="AH96" t="s">
        <v>138</v>
      </c>
      <c r="AI96" t="s">
        <v>138</v>
      </c>
      <c r="AJ96" t="s">
        <v>138</v>
      </c>
      <c r="AK96" t="s">
        <v>138</v>
      </c>
      <c r="AL96" t="s">
        <v>138</v>
      </c>
      <c r="AM96" t="s">
        <v>138</v>
      </c>
      <c r="AN96" t="s">
        <v>138</v>
      </c>
      <c r="AO96" t="s">
        <v>138</v>
      </c>
      <c r="AP96" t="s">
        <v>138</v>
      </c>
      <c r="AQ96" t="s">
        <v>138</v>
      </c>
      <c r="AR96" t="s">
        <v>138</v>
      </c>
      <c r="AS96" t="s">
        <v>138</v>
      </c>
      <c r="AT96" t="s">
        <v>138</v>
      </c>
      <c r="AU96" t="s">
        <v>138</v>
      </c>
      <c r="AV96" t="s">
        <v>138</v>
      </c>
      <c r="AW96" t="s">
        <v>138</v>
      </c>
      <c r="AX96" t="s">
        <v>138</v>
      </c>
      <c r="AY96" t="s">
        <v>138</v>
      </c>
      <c r="AZ96" t="s">
        <v>138</v>
      </c>
      <c r="BA96" t="s">
        <v>138</v>
      </c>
      <c r="BB96" t="s">
        <v>138</v>
      </c>
      <c r="BC96" t="s">
        <v>138</v>
      </c>
      <c r="BD96" t="s">
        <v>138</v>
      </c>
      <c r="BE96" t="s">
        <v>138</v>
      </c>
      <c r="BF96" t="s">
        <v>138</v>
      </c>
      <c r="BG96" t="s">
        <v>138</v>
      </c>
      <c r="BH96" t="s">
        <v>138</v>
      </c>
      <c r="BI96" t="s">
        <v>138</v>
      </c>
      <c r="BJ96" t="s">
        <v>138</v>
      </c>
      <c r="BK96" t="s">
        <v>138</v>
      </c>
      <c r="BL96" t="s">
        <v>138</v>
      </c>
      <c r="BM96" t="s">
        <v>138</v>
      </c>
      <c r="BN96" t="s">
        <v>138</v>
      </c>
    </row>
    <row r="97" spans="1:66" x14ac:dyDescent="0.25">
      <c r="A97">
        <f>YEAR([1]chla!A97)</f>
        <v>2024</v>
      </c>
      <c r="B97">
        <f>MONTH([1]chla!A97)</f>
        <v>2</v>
      </c>
      <c r="C97">
        <f>DAY([1]chla!A97)</f>
        <v>14</v>
      </c>
      <c r="D97">
        <v>-64.555310000000006</v>
      </c>
      <c r="E97">
        <v>-54.255310000000001</v>
      </c>
      <c r="F97">
        <v>38.4651351351351</v>
      </c>
      <c r="G97">
        <v>0.66735396872939301</v>
      </c>
      <c r="H97">
        <v>0.22466260751185799</v>
      </c>
      <c r="I97">
        <v>0.365106146628075</v>
      </c>
      <c r="J97">
        <v>7.7585214589459897E-2</v>
      </c>
      <c r="K97" t="s">
        <v>36</v>
      </c>
      <c r="L97" t="s">
        <v>36</v>
      </c>
      <c r="M97" t="s">
        <v>138</v>
      </c>
      <c r="N97" t="s">
        <v>138</v>
      </c>
      <c r="O97" t="s">
        <v>138</v>
      </c>
      <c r="P97" t="s">
        <v>138</v>
      </c>
      <c r="Q97" t="s">
        <v>138</v>
      </c>
      <c r="R97" t="s">
        <v>138</v>
      </c>
      <c r="S97" t="s">
        <v>138</v>
      </c>
      <c r="T97" t="s">
        <v>138</v>
      </c>
      <c r="U97" t="s">
        <v>138</v>
      </c>
      <c r="V97" t="s">
        <v>138</v>
      </c>
      <c r="W97" t="s">
        <v>138</v>
      </c>
      <c r="X97" t="s">
        <v>138</v>
      </c>
      <c r="Y97" t="s">
        <v>138</v>
      </c>
      <c r="Z97" t="s">
        <v>138</v>
      </c>
      <c r="AA97" t="s">
        <v>138</v>
      </c>
      <c r="AB97" t="s">
        <v>138</v>
      </c>
      <c r="AC97" t="s">
        <v>138</v>
      </c>
      <c r="AD97" t="s">
        <v>138</v>
      </c>
      <c r="AE97" t="s">
        <v>138</v>
      </c>
      <c r="AF97" t="s">
        <v>138</v>
      </c>
      <c r="AG97" t="s">
        <v>138</v>
      </c>
      <c r="AH97" t="s">
        <v>138</v>
      </c>
      <c r="AI97" t="s">
        <v>138</v>
      </c>
      <c r="AJ97" t="s">
        <v>138</v>
      </c>
      <c r="AK97" t="s">
        <v>138</v>
      </c>
      <c r="AL97" t="s">
        <v>138</v>
      </c>
      <c r="AM97" t="s">
        <v>138</v>
      </c>
      <c r="AN97" t="s">
        <v>138</v>
      </c>
      <c r="AO97" t="s">
        <v>138</v>
      </c>
      <c r="AP97" t="s">
        <v>138</v>
      </c>
      <c r="AQ97" t="s">
        <v>138</v>
      </c>
      <c r="AR97" t="s">
        <v>138</v>
      </c>
      <c r="AS97" t="s">
        <v>138</v>
      </c>
      <c r="AT97" t="s">
        <v>138</v>
      </c>
      <c r="AU97" t="s">
        <v>138</v>
      </c>
      <c r="AV97" t="s">
        <v>138</v>
      </c>
      <c r="AW97" t="s">
        <v>138</v>
      </c>
      <c r="AX97" t="s">
        <v>138</v>
      </c>
      <c r="AY97" t="s">
        <v>138</v>
      </c>
      <c r="AZ97" t="s">
        <v>138</v>
      </c>
      <c r="BA97" t="s">
        <v>138</v>
      </c>
      <c r="BB97" t="s">
        <v>138</v>
      </c>
      <c r="BC97" t="s">
        <v>138</v>
      </c>
      <c r="BD97" t="s">
        <v>138</v>
      </c>
      <c r="BE97" t="s">
        <v>138</v>
      </c>
      <c r="BF97" t="s">
        <v>138</v>
      </c>
      <c r="BG97" t="s">
        <v>138</v>
      </c>
      <c r="BH97" t="s">
        <v>138</v>
      </c>
      <c r="BI97" t="s">
        <v>138</v>
      </c>
      <c r="BJ97" t="s">
        <v>138</v>
      </c>
      <c r="BK97" t="s">
        <v>138</v>
      </c>
      <c r="BL97" t="s">
        <v>138</v>
      </c>
      <c r="BM97" t="s">
        <v>138</v>
      </c>
      <c r="BN97" t="s">
        <v>138</v>
      </c>
    </row>
    <row r="98" spans="1:66" x14ac:dyDescent="0.25">
      <c r="A98">
        <f>YEAR([1]chla!A98)</f>
        <v>2024</v>
      </c>
      <c r="B98">
        <f>MONTH([1]chla!A98)</f>
        <v>2</v>
      </c>
      <c r="C98">
        <f>DAY([1]chla!A98)</f>
        <v>14</v>
      </c>
      <c r="D98">
        <v>-64.555310000000006</v>
      </c>
      <c r="E98">
        <v>-54.255310000000001</v>
      </c>
      <c r="F98">
        <v>24.304783783783702</v>
      </c>
      <c r="G98">
        <v>0.85536709367529695</v>
      </c>
      <c r="H98">
        <v>0.21527813139579699</v>
      </c>
      <c r="I98">
        <v>0.54341119283322603</v>
      </c>
      <c r="J98">
        <v>9.6677769446272793E-2</v>
      </c>
      <c r="K98" t="s">
        <v>36</v>
      </c>
      <c r="L98" t="s">
        <v>36</v>
      </c>
      <c r="M98" t="s">
        <v>195</v>
      </c>
      <c r="N98" t="s">
        <v>36</v>
      </c>
      <c r="O98" s="3">
        <v>45336</v>
      </c>
      <c r="P98" t="s">
        <v>127</v>
      </c>
      <c r="Q98">
        <v>-64.563881166666604</v>
      </c>
      <c r="R98">
        <v>-54.290629216666602</v>
      </c>
      <c r="S98" t="s">
        <v>128</v>
      </c>
      <c r="T98">
        <v>20</v>
      </c>
      <c r="U98">
        <v>1000</v>
      </c>
      <c r="V98" s="4" t="s">
        <v>103</v>
      </c>
      <c r="W98">
        <v>0.32179180261173779</v>
      </c>
      <c r="X98">
        <v>1.330670081675603E-2</v>
      </c>
      <c r="Y98">
        <v>6.8347998923999523E-2</v>
      </c>
      <c r="Z98">
        <v>1.464215477588948E-2</v>
      </c>
      <c r="AA98">
        <v>6.4892679261940714E-2</v>
      </c>
      <c r="AB98">
        <v>6.2580713454867848E-2</v>
      </c>
      <c r="AC98">
        <v>3.1238053805951499E-3</v>
      </c>
      <c r="AD98">
        <v>7.9334518762793793E-2</v>
      </c>
      <c r="AE98">
        <v>1.037434773492651</v>
      </c>
      <c r="AF98">
        <v>1.1167692922554451</v>
      </c>
      <c r="AG98">
        <v>0.66924420341310975</v>
      </c>
      <c r="AH98">
        <v>0.70600370899666831</v>
      </c>
      <c r="AI98">
        <v>0.19553747301032159</v>
      </c>
      <c r="AJ98">
        <v>9.8458817993010025E-2</v>
      </c>
      <c r="AK98">
        <v>0.78844326242592844</v>
      </c>
      <c r="AL98">
        <v>0.21837024534315511</v>
      </c>
      <c r="AM98">
        <v>0.10995578448636149</v>
      </c>
      <c r="AN98">
        <v>1.155012855062354</v>
      </c>
      <c r="AO98">
        <v>2.9576397658750121E-2</v>
      </c>
      <c r="AP98">
        <v>0.60164980833190851</v>
      </c>
      <c r="AQ98">
        <v>0.3687737940093414</v>
      </c>
      <c r="AR98">
        <v>3.3030012680827982E-2</v>
      </c>
      <c r="AS98">
        <v>0.67190403063644966</v>
      </c>
      <c r="AT98">
        <v>0.41183524893816748</v>
      </c>
      <c r="AU98">
        <v>0.90180216862489104</v>
      </c>
      <c r="AV98">
        <v>3.2424014983184991E-3</v>
      </c>
      <c r="AW98">
        <v>0.1271259168962697</v>
      </c>
      <c r="AX98">
        <v>0.23581402362877271</v>
      </c>
      <c r="AY98">
        <v>0.63706005947495747</v>
      </c>
      <c r="AZ98">
        <v>0.14197032023957171</v>
      </c>
      <c r="BA98">
        <v>0.26334986027181317</v>
      </c>
      <c r="BB98">
        <v>0.71144911174406</v>
      </c>
      <c r="BC98">
        <v>0.70202993539697167</v>
      </c>
      <c r="BD98">
        <v>1.613278719271681E-2</v>
      </c>
      <c r="BE98">
        <v>0.1225612716528921</v>
      </c>
      <c r="BF98">
        <v>0.29417895957893192</v>
      </c>
      <c r="BG98">
        <v>0.58325976876817598</v>
      </c>
      <c r="BH98">
        <v>0.1368726646017277</v>
      </c>
      <c r="BI98">
        <v>0.32853002848540702</v>
      </c>
      <c r="BJ98">
        <v>0.65136659916831041</v>
      </c>
      <c r="BK98" t="s">
        <v>138</v>
      </c>
      <c r="BL98" t="s">
        <v>138</v>
      </c>
      <c r="BM98" t="s">
        <v>138</v>
      </c>
      <c r="BN98" t="s">
        <v>138</v>
      </c>
    </row>
    <row r="99" spans="1:66" x14ac:dyDescent="0.25">
      <c r="A99">
        <f>YEAR([1]chla!A99)</f>
        <v>2024</v>
      </c>
      <c r="B99">
        <f>MONTH([1]chla!A99)</f>
        <v>2</v>
      </c>
      <c r="C99">
        <f>DAY([1]chla!A99)</f>
        <v>14</v>
      </c>
      <c r="D99">
        <v>-64.555310000000006</v>
      </c>
      <c r="E99">
        <v>-54.255310000000001</v>
      </c>
      <c r="F99">
        <v>12.006515151515099</v>
      </c>
      <c r="G99">
        <v>0.94468141809021799</v>
      </c>
      <c r="H99">
        <v>0.18275606761427701</v>
      </c>
      <c r="I99">
        <v>0.62657706737900498</v>
      </c>
      <c r="J99">
        <v>0.135348283096936</v>
      </c>
      <c r="K99" t="s">
        <v>36</v>
      </c>
      <c r="L99" t="s">
        <v>36</v>
      </c>
      <c r="M99" t="s">
        <v>197</v>
      </c>
      <c r="N99" t="s">
        <v>36</v>
      </c>
      <c r="O99" t="s">
        <v>138</v>
      </c>
      <c r="P99" t="s">
        <v>138</v>
      </c>
      <c r="Q99" t="s">
        <v>138</v>
      </c>
      <c r="R99" t="s">
        <v>138</v>
      </c>
      <c r="S99" t="s">
        <v>138</v>
      </c>
      <c r="T99">
        <v>7</v>
      </c>
      <c r="U99" t="s">
        <v>138</v>
      </c>
      <c r="V99" t="s">
        <v>111</v>
      </c>
      <c r="W99">
        <v>0.36480000000000001</v>
      </c>
      <c r="X99">
        <v>5.1000000000000004E-3</v>
      </c>
      <c r="Y99">
        <v>7.7799999999999994E-2</v>
      </c>
      <c r="Z99">
        <v>1.4500000000000001E-2</v>
      </c>
      <c r="AA99">
        <v>7.6600000000000001E-2</v>
      </c>
      <c r="AB99">
        <v>3.9100000000000003E-2</v>
      </c>
      <c r="AC99">
        <v>0</v>
      </c>
      <c r="AD99" t="s">
        <v>138</v>
      </c>
      <c r="AE99" t="s">
        <v>138</v>
      </c>
      <c r="AF99">
        <v>0.8901</v>
      </c>
      <c r="AG99">
        <v>0.71089099999999994</v>
      </c>
      <c r="AH99">
        <v>0.73366943736803525</v>
      </c>
      <c r="AI99">
        <v>0.21077914898345879</v>
      </c>
      <c r="AJ99">
        <v>5.5551413648505903E-2</v>
      </c>
      <c r="AK99">
        <v>0.65303916620128821</v>
      </c>
      <c r="AL99">
        <v>0.18761452051017671</v>
      </c>
      <c r="AM99">
        <v>4.9446313288535097E-2</v>
      </c>
      <c r="AN99">
        <v>1.269172</v>
      </c>
      <c r="AO99">
        <v>1.4479518930452301E-2</v>
      </c>
      <c r="AP99">
        <v>0.60765916676384291</v>
      </c>
      <c r="AQ99">
        <v>0.37786131430570491</v>
      </c>
      <c r="AR99">
        <v>1.288821979999559E-2</v>
      </c>
      <c r="AS99">
        <v>0.54087742433649655</v>
      </c>
      <c r="AT99">
        <v>0.33633435586350791</v>
      </c>
      <c r="AU99">
        <v>0.95136500000000002</v>
      </c>
      <c r="AV99">
        <v>3.3372639541614062E-3</v>
      </c>
      <c r="AW99">
        <v>7.3155939098032835E-2</v>
      </c>
      <c r="AX99">
        <v>0.2575981240430758</v>
      </c>
      <c r="AY99">
        <v>0.66924593685889133</v>
      </c>
      <c r="AZ99">
        <v>6.5116101391159031E-2</v>
      </c>
      <c r="BA99">
        <v>0.22928809021074181</v>
      </c>
      <c r="BB99">
        <v>0.59569580839809921</v>
      </c>
      <c r="BC99">
        <v>0.74390800000000001</v>
      </c>
      <c r="BD99">
        <v>1.6419454376997909E-2</v>
      </c>
      <c r="BE99">
        <v>6.8853944304940934E-2</v>
      </c>
      <c r="BF99">
        <v>0.31610265071769261</v>
      </c>
      <c r="BG99">
        <v>0.61504340497736654</v>
      </c>
      <c r="BH99">
        <v>6.1286895825827928E-2</v>
      </c>
      <c r="BI99">
        <v>0.28136296940381822</v>
      </c>
      <c r="BJ99">
        <v>0.54745013477035398</v>
      </c>
      <c r="BK99" t="s">
        <v>138</v>
      </c>
      <c r="BL99" t="s">
        <v>138</v>
      </c>
      <c r="BM99" t="s">
        <v>138</v>
      </c>
      <c r="BN99" t="s">
        <v>138</v>
      </c>
    </row>
    <row r="100" spans="1:66" x14ac:dyDescent="0.25">
      <c r="A100">
        <f>YEAR([1]chla!A100)</f>
        <v>2024</v>
      </c>
      <c r="B100">
        <f>MONTH([1]chla!A100)</f>
        <v>2</v>
      </c>
      <c r="C100">
        <f>DAY([1]chla!A100)</f>
        <v>14</v>
      </c>
      <c r="D100">
        <v>-64.555310000000006</v>
      </c>
      <c r="E100">
        <v>-54.255310000000001</v>
      </c>
      <c r="F100">
        <v>0.66804807692307699</v>
      </c>
      <c r="G100">
        <v>1.1050265186249699</v>
      </c>
      <c r="H100">
        <v>0.238577520373603</v>
      </c>
      <c r="I100">
        <v>0.756341719880395</v>
      </c>
      <c r="J100">
        <v>0.11010727837098</v>
      </c>
      <c r="K100" t="s">
        <v>36</v>
      </c>
      <c r="L100" t="s">
        <v>36</v>
      </c>
      <c r="M100" t="s">
        <v>138</v>
      </c>
      <c r="N100" t="s">
        <v>138</v>
      </c>
      <c r="O100" t="s">
        <v>138</v>
      </c>
      <c r="P100" t="s">
        <v>138</v>
      </c>
      <c r="Q100" t="s">
        <v>138</v>
      </c>
      <c r="R100" t="s">
        <v>138</v>
      </c>
      <c r="S100" t="s">
        <v>138</v>
      </c>
      <c r="T100" t="s">
        <v>138</v>
      </c>
      <c r="U100" t="s">
        <v>138</v>
      </c>
      <c r="V100" t="s">
        <v>138</v>
      </c>
      <c r="W100" t="s">
        <v>138</v>
      </c>
      <c r="X100" t="s">
        <v>138</v>
      </c>
      <c r="Y100" t="s">
        <v>138</v>
      </c>
      <c r="Z100" t="s">
        <v>138</v>
      </c>
      <c r="AA100" t="s">
        <v>138</v>
      </c>
      <c r="AB100" t="s">
        <v>138</v>
      </c>
      <c r="AC100" t="s">
        <v>138</v>
      </c>
      <c r="AD100" t="s">
        <v>138</v>
      </c>
      <c r="AE100" t="s">
        <v>138</v>
      </c>
      <c r="AF100" t="s">
        <v>138</v>
      </c>
      <c r="AG100" t="s">
        <v>138</v>
      </c>
      <c r="AH100" t="s">
        <v>138</v>
      </c>
      <c r="AI100" t="s">
        <v>138</v>
      </c>
      <c r="AJ100" t="s">
        <v>138</v>
      </c>
      <c r="AK100" t="s">
        <v>138</v>
      </c>
      <c r="AL100" t="s">
        <v>138</v>
      </c>
      <c r="AM100" t="s">
        <v>138</v>
      </c>
      <c r="AN100" t="s">
        <v>138</v>
      </c>
      <c r="AO100" t="s">
        <v>138</v>
      </c>
      <c r="AP100" t="s">
        <v>138</v>
      </c>
      <c r="AQ100" t="s">
        <v>138</v>
      </c>
      <c r="AR100" t="s">
        <v>138</v>
      </c>
      <c r="AS100" t="s">
        <v>138</v>
      </c>
      <c r="AT100" t="s">
        <v>138</v>
      </c>
      <c r="AU100" t="s">
        <v>138</v>
      </c>
      <c r="AV100" t="s">
        <v>138</v>
      </c>
      <c r="AW100" t="s">
        <v>138</v>
      </c>
      <c r="AX100" t="s">
        <v>138</v>
      </c>
      <c r="AY100" t="s">
        <v>138</v>
      </c>
      <c r="AZ100" t="s">
        <v>138</v>
      </c>
      <c r="BA100" t="s">
        <v>138</v>
      </c>
      <c r="BB100" t="s">
        <v>138</v>
      </c>
      <c r="BC100" t="s">
        <v>138</v>
      </c>
      <c r="BD100" t="s">
        <v>138</v>
      </c>
      <c r="BE100" t="s">
        <v>138</v>
      </c>
      <c r="BF100" t="s">
        <v>138</v>
      </c>
      <c r="BG100" t="s">
        <v>138</v>
      </c>
      <c r="BH100" t="s">
        <v>138</v>
      </c>
      <c r="BI100" t="s">
        <v>138</v>
      </c>
      <c r="BJ100" t="s">
        <v>138</v>
      </c>
      <c r="BK100">
        <v>2.187316432343299</v>
      </c>
      <c r="BL100">
        <v>0.35195817030179127</v>
      </c>
      <c r="BM100">
        <v>0.85333651101335173</v>
      </c>
      <c r="BN100">
        <v>1.0006649037391551</v>
      </c>
    </row>
    <row r="101" spans="1:66" x14ac:dyDescent="0.25">
      <c r="A101">
        <f>YEAR([1]chla!A101)</f>
        <v>2024</v>
      </c>
      <c r="B101">
        <f>MONTH([1]chla!A101)</f>
        <v>2</v>
      </c>
      <c r="C101">
        <f>DAY([1]chla!A101)</f>
        <v>15</v>
      </c>
      <c r="D101">
        <v>-64.578890000000001</v>
      </c>
      <c r="E101">
        <v>-54.408900000000003</v>
      </c>
      <c r="F101">
        <v>201.12723684210499</v>
      </c>
      <c r="G101">
        <v>0.13616026029789299</v>
      </c>
      <c r="H101">
        <v>5.1373401989428497E-2</v>
      </c>
      <c r="I101">
        <v>5.1211600677082601E-2</v>
      </c>
      <c r="J101">
        <v>3.3575257631382499E-2</v>
      </c>
      <c r="K101" t="s">
        <v>37</v>
      </c>
      <c r="L101" t="s">
        <v>38</v>
      </c>
      <c r="M101" t="s">
        <v>138</v>
      </c>
      <c r="N101" t="s">
        <v>138</v>
      </c>
      <c r="O101" t="s">
        <v>138</v>
      </c>
      <c r="P101" t="s">
        <v>138</v>
      </c>
      <c r="Q101" t="s">
        <v>138</v>
      </c>
      <c r="R101" t="s">
        <v>138</v>
      </c>
      <c r="S101" t="s">
        <v>138</v>
      </c>
      <c r="T101" t="s">
        <v>138</v>
      </c>
      <c r="U101" t="s">
        <v>138</v>
      </c>
      <c r="V101" t="s">
        <v>138</v>
      </c>
      <c r="W101" t="s">
        <v>138</v>
      </c>
      <c r="X101" t="s">
        <v>138</v>
      </c>
      <c r="Y101" t="s">
        <v>138</v>
      </c>
      <c r="Z101" t="s">
        <v>138</v>
      </c>
      <c r="AA101" t="s">
        <v>138</v>
      </c>
      <c r="AB101" t="s">
        <v>138</v>
      </c>
      <c r="AC101" t="s">
        <v>138</v>
      </c>
      <c r="AD101" t="s">
        <v>138</v>
      </c>
      <c r="AE101" t="s">
        <v>138</v>
      </c>
      <c r="AF101" t="s">
        <v>138</v>
      </c>
      <c r="AG101" t="s">
        <v>138</v>
      </c>
      <c r="AH101" t="s">
        <v>138</v>
      </c>
      <c r="AI101" t="s">
        <v>138</v>
      </c>
      <c r="AJ101" t="s">
        <v>138</v>
      </c>
      <c r="AK101" t="s">
        <v>138</v>
      </c>
      <c r="AL101" t="s">
        <v>138</v>
      </c>
      <c r="AM101" t="s">
        <v>138</v>
      </c>
      <c r="AN101" t="s">
        <v>138</v>
      </c>
      <c r="AO101" t="s">
        <v>138</v>
      </c>
      <c r="AP101" t="s">
        <v>138</v>
      </c>
      <c r="AQ101" t="s">
        <v>138</v>
      </c>
      <c r="AR101" t="s">
        <v>138</v>
      </c>
      <c r="AS101" t="s">
        <v>138</v>
      </c>
      <c r="AT101" t="s">
        <v>138</v>
      </c>
      <c r="AU101" t="s">
        <v>138</v>
      </c>
      <c r="AV101" t="s">
        <v>138</v>
      </c>
      <c r="AW101" t="s">
        <v>138</v>
      </c>
      <c r="AX101" t="s">
        <v>138</v>
      </c>
      <c r="AY101" t="s">
        <v>138</v>
      </c>
      <c r="AZ101" t="s">
        <v>138</v>
      </c>
      <c r="BA101" t="s">
        <v>138</v>
      </c>
      <c r="BB101" t="s">
        <v>138</v>
      </c>
      <c r="BC101" t="s">
        <v>138</v>
      </c>
      <c r="BD101" t="s">
        <v>138</v>
      </c>
      <c r="BE101" t="s">
        <v>138</v>
      </c>
      <c r="BF101" t="s">
        <v>138</v>
      </c>
      <c r="BG101" t="s">
        <v>138</v>
      </c>
      <c r="BH101" t="s">
        <v>138</v>
      </c>
      <c r="BI101" t="s">
        <v>138</v>
      </c>
      <c r="BJ101" t="s">
        <v>138</v>
      </c>
      <c r="BK101" t="s">
        <v>138</v>
      </c>
      <c r="BL101" t="s">
        <v>138</v>
      </c>
      <c r="BM101" t="s">
        <v>138</v>
      </c>
      <c r="BN101" t="s">
        <v>138</v>
      </c>
    </row>
    <row r="102" spans="1:66" x14ac:dyDescent="0.25">
      <c r="A102">
        <f>YEAR([1]chla!A102)</f>
        <v>2024</v>
      </c>
      <c r="B102">
        <f>MONTH([1]chla!A102)</f>
        <v>2</v>
      </c>
      <c r="C102">
        <f>DAY([1]chla!A102)</f>
        <v>15</v>
      </c>
      <c r="D102">
        <v>-64.578890000000001</v>
      </c>
      <c r="E102">
        <v>-54.408900000000003</v>
      </c>
      <c r="F102">
        <v>87.598675675675594</v>
      </c>
      <c r="G102">
        <v>0.330969040362324</v>
      </c>
      <c r="H102">
        <v>0.15670605632659099</v>
      </c>
      <c r="I102">
        <v>0.144085553963613</v>
      </c>
      <c r="J102">
        <v>3.0177430072119201E-2</v>
      </c>
      <c r="K102" t="s">
        <v>37</v>
      </c>
      <c r="L102" t="s">
        <v>38</v>
      </c>
      <c r="M102" t="s">
        <v>138</v>
      </c>
      <c r="N102" t="s">
        <v>138</v>
      </c>
      <c r="O102" t="s">
        <v>138</v>
      </c>
      <c r="P102" t="s">
        <v>138</v>
      </c>
      <c r="Q102" t="s">
        <v>138</v>
      </c>
      <c r="R102" t="s">
        <v>138</v>
      </c>
      <c r="S102" t="s">
        <v>138</v>
      </c>
      <c r="T102" t="s">
        <v>138</v>
      </c>
      <c r="U102" t="s">
        <v>138</v>
      </c>
      <c r="V102" t="s">
        <v>138</v>
      </c>
      <c r="W102" t="s">
        <v>138</v>
      </c>
      <c r="X102" t="s">
        <v>138</v>
      </c>
      <c r="Y102" t="s">
        <v>138</v>
      </c>
      <c r="Z102" t="s">
        <v>138</v>
      </c>
      <c r="AA102" t="s">
        <v>138</v>
      </c>
      <c r="AB102" t="s">
        <v>138</v>
      </c>
      <c r="AC102" t="s">
        <v>138</v>
      </c>
      <c r="AD102" t="s">
        <v>138</v>
      </c>
      <c r="AE102" t="s">
        <v>138</v>
      </c>
      <c r="AF102" t="s">
        <v>138</v>
      </c>
      <c r="AG102" t="s">
        <v>138</v>
      </c>
      <c r="AH102" t="s">
        <v>138</v>
      </c>
      <c r="AI102" t="s">
        <v>138</v>
      </c>
      <c r="AJ102" t="s">
        <v>138</v>
      </c>
      <c r="AK102" t="s">
        <v>138</v>
      </c>
      <c r="AL102" t="s">
        <v>138</v>
      </c>
      <c r="AM102" t="s">
        <v>138</v>
      </c>
      <c r="AN102" t="s">
        <v>138</v>
      </c>
      <c r="AO102" t="s">
        <v>138</v>
      </c>
      <c r="AP102" t="s">
        <v>138</v>
      </c>
      <c r="AQ102" t="s">
        <v>138</v>
      </c>
      <c r="AR102" t="s">
        <v>138</v>
      </c>
      <c r="AS102" t="s">
        <v>138</v>
      </c>
      <c r="AT102" t="s">
        <v>138</v>
      </c>
      <c r="AU102" t="s">
        <v>138</v>
      </c>
      <c r="AV102" t="s">
        <v>138</v>
      </c>
      <c r="AW102" t="s">
        <v>138</v>
      </c>
      <c r="AX102" t="s">
        <v>138</v>
      </c>
      <c r="AY102" t="s">
        <v>138</v>
      </c>
      <c r="AZ102" t="s">
        <v>138</v>
      </c>
      <c r="BA102" t="s">
        <v>138</v>
      </c>
      <c r="BB102" t="s">
        <v>138</v>
      </c>
      <c r="BC102" t="s">
        <v>138</v>
      </c>
      <c r="BD102" t="s">
        <v>138</v>
      </c>
      <c r="BE102" t="s">
        <v>138</v>
      </c>
      <c r="BF102" t="s">
        <v>138</v>
      </c>
      <c r="BG102" t="s">
        <v>138</v>
      </c>
      <c r="BH102" t="s">
        <v>138</v>
      </c>
      <c r="BI102" t="s">
        <v>138</v>
      </c>
      <c r="BJ102" t="s">
        <v>138</v>
      </c>
      <c r="BK102" t="s">
        <v>138</v>
      </c>
      <c r="BL102" t="s">
        <v>138</v>
      </c>
      <c r="BM102" t="s">
        <v>138</v>
      </c>
      <c r="BN102" t="s">
        <v>138</v>
      </c>
    </row>
    <row r="103" spans="1:66" x14ac:dyDescent="0.25">
      <c r="A103">
        <f>YEAR([1]chla!A103)</f>
        <v>2024</v>
      </c>
      <c r="B103">
        <f>MONTH([1]chla!A103)</f>
        <v>2</v>
      </c>
      <c r="C103">
        <f>DAY([1]chla!A103)</f>
        <v>15</v>
      </c>
      <c r="D103">
        <v>-64.578890000000001</v>
      </c>
      <c r="E103">
        <v>-54.408900000000003</v>
      </c>
      <c r="F103">
        <v>59.1934210526315</v>
      </c>
      <c r="G103">
        <v>0.74760741965294597</v>
      </c>
      <c r="H103">
        <v>0.23420888494026401</v>
      </c>
      <c r="I103">
        <v>0.43516611487383799</v>
      </c>
      <c r="J103">
        <v>7.8232419838843395E-2</v>
      </c>
      <c r="K103" t="s">
        <v>37</v>
      </c>
      <c r="L103" t="s">
        <v>39</v>
      </c>
      <c r="M103" t="s">
        <v>138</v>
      </c>
      <c r="N103" t="s">
        <v>138</v>
      </c>
      <c r="O103" t="s">
        <v>138</v>
      </c>
      <c r="P103" t="s">
        <v>138</v>
      </c>
      <c r="Q103" t="s">
        <v>138</v>
      </c>
      <c r="R103" t="s">
        <v>138</v>
      </c>
      <c r="S103" t="s">
        <v>138</v>
      </c>
      <c r="T103" t="s">
        <v>138</v>
      </c>
      <c r="U103" t="s">
        <v>138</v>
      </c>
      <c r="V103" t="s">
        <v>138</v>
      </c>
      <c r="W103" t="s">
        <v>138</v>
      </c>
      <c r="X103" t="s">
        <v>138</v>
      </c>
      <c r="Y103" t="s">
        <v>138</v>
      </c>
      <c r="Z103" t="s">
        <v>138</v>
      </c>
      <c r="AA103" t="s">
        <v>138</v>
      </c>
      <c r="AB103" t="s">
        <v>138</v>
      </c>
      <c r="AC103" t="s">
        <v>138</v>
      </c>
      <c r="AD103" t="s">
        <v>138</v>
      </c>
      <c r="AE103" t="s">
        <v>138</v>
      </c>
      <c r="AF103" t="s">
        <v>138</v>
      </c>
      <c r="AG103" t="s">
        <v>138</v>
      </c>
      <c r="AH103" t="s">
        <v>138</v>
      </c>
      <c r="AI103" t="s">
        <v>138</v>
      </c>
      <c r="AJ103" t="s">
        <v>138</v>
      </c>
      <c r="AK103" t="s">
        <v>138</v>
      </c>
      <c r="AL103" t="s">
        <v>138</v>
      </c>
      <c r="AM103" t="s">
        <v>138</v>
      </c>
      <c r="AN103" t="s">
        <v>138</v>
      </c>
      <c r="AO103" t="s">
        <v>138</v>
      </c>
      <c r="AP103" t="s">
        <v>138</v>
      </c>
      <c r="AQ103" t="s">
        <v>138</v>
      </c>
      <c r="AR103" t="s">
        <v>138</v>
      </c>
      <c r="AS103" t="s">
        <v>138</v>
      </c>
      <c r="AT103" t="s">
        <v>138</v>
      </c>
      <c r="AU103" t="s">
        <v>138</v>
      </c>
      <c r="AV103" t="s">
        <v>138</v>
      </c>
      <c r="AW103" t="s">
        <v>138</v>
      </c>
      <c r="AX103" t="s">
        <v>138</v>
      </c>
      <c r="AY103" t="s">
        <v>138</v>
      </c>
      <c r="AZ103" t="s">
        <v>138</v>
      </c>
      <c r="BA103" t="s">
        <v>138</v>
      </c>
      <c r="BB103" t="s">
        <v>138</v>
      </c>
      <c r="BC103" t="s">
        <v>138</v>
      </c>
      <c r="BD103" t="s">
        <v>138</v>
      </c>
      <c r="BE103" t="s">
        <v>138</v>
      </c>
      <c r="BF103" t="s">
        <v>138</v>
      </c>
      <c r="BG103" t="s">
        <v>138</v>
      </c>
      <c r="BH103" t="s">
        <v>138</v>
      </c>
      <c r="BI103" t="s">
        <v>138</v>
      </c>
      <c r="BJ103" t="s">
        <v>138</v>
      </c>
      <c r="BK103" t="s">
        <v>138</v>
      </c>
      <c r="BL103" t="s">
        <v>138</v>
      </c>
      <c r="BM103" t="s">
        <v>138</v>
      </c>
      <c r="BN103" t="s">
        <v>138</v>
      </c>
    </row>
    <row r="104" spans="1:66" x14ac:dyDescent="0.25">
      <c r="A104">
        <f>YEAR([1]chla!A104)</f>
        <v>2024</v>
      </c>
      <c r="B104">
        <f>MONTH([1]chla!A104)</f>
        <v>2</v>
      </c>
      <c r="C104">
        <f>DAY([1]chla!A104)</f>
        <v>15</v>
      </c>
      <c r="D104">
        <v>-64.578890000000001</v>
      </c>
      <c r="E104">
        <v>-54.408900000000003</v>
      </c>
      <c r="F104">
        <v>39.036307692307602</v>
      </c>
      <c r="G104">
        <v>0.89727363357287804</v>
      </c>
      <c r="H104">
        <v>0.25556665816991903</v>
      </c>
      <c r="I104">
        <v>0.53968976264927104</v>
      </c>
      <c r="J104">
        <v>0.102017212753686</v>
      </c>
      <c r="K104" t="s">
        <v>37</v>
      </c>
      <c r="L104" t="s">
        <v>39</v>
      </c>
      <c r="M104" t="s">
        <v>138</v>
      </c>
      <c r="N104" t="s">
        <v>138</v>
      </c>
      <c r="O104" t="s">
        <v>138</v>
      </c>
      <c r="P104" t="s">
        <v>138</v>
      </c>
      <c r="Q104" t="s">
        <v>138</v>
      </c>
      <c r="R104" t="s">
        <v>138</v>
      </c>
      <c r="S104" t="s">
        <v>138</v>
      </c>
      <c r="T104" t="s">
        <v>138</v>
      </c>
      <c r="U104" t="s">
        <v>138</v>
      </c>
      <c r="V104" t="s">
        <v>138</v>
      </c>
      <c r="W104" t="s">
        <v>138</v>
      </c>
      <c r="X104" t="s">
        <v>138</v>
      </c>
      <c r="Y104" t="s">
        <v>138</v>
      </c>
      <c r="Z104" t="s">
        <v>138</v>
      </c>
      <c r="AA104" t="s">
        <v>138</v>
      </c>
      <c r="AB104" t="s">
        <v>138</v>
      </c>
      <c r="AC104" t="s">
        <v>138</v>
      </c>
      <c r="AD104" t="s">
        <v>138</v>
      </c>
      <c r="AE104" t="s">
        <v>138</v>
      </c>
      <c r="AF104" t="s">
        <v>138</v>
      </c>
      <c r="AG104" t="s">
        <v>138</v>
      </c>
      <c r="AH104" t="s">
        <v>138</v>
      </c>
      <c r="AI104" t="s">
        <v>138</v>
      </c>
      <c r="AJ104" t="s">
        <v>138</v>
      </c>
      <c r="AK104" t="s">
        <v>138</v>
      </c>
      <c r="AL104" t="s">
        <v>138</v>
      </c>
      <c r="AM104" t="s">
        <v>138</v>
      </c>
      <c r="AN104" t="s">
        <v>138</v>
      </c>
      <c r="AO104" t="s">
        <v>138</v>
      </c>
      <c r="AP104" t="s">
        <v>138</v>
      </c>
      <c r="AQ104" t="s">
        <v>138</v>
      </c>
      <c r="AR104" t="s">
        <v>138</v>
      </c>
      <c r="AS104" t="s">
        <v>138</v>
      </c>
      <c r="AT104" t="s">
        <v>138</v>
      </c>
      <c r="AU104" t="s">
        <v>138</v>
      </c>
      <c r="AV104" t="s">
        <v>138</v>
      </c>
      <c r="AW104" t="s">
        <v>138</v>
      </c>
      <c r="AX104" t="s">
        <v>138</v>
      </c>
      <c r="AY104" t="s">
        <v>138</v>
      </c>
      <c r="AZ104" t="s">
        <v>138</v>
      </c>
      <c r="BA104" t="s">
        <v>138</v>
      </c>
      <c r="BB104" t="s">
        <v>138</v>
      </c>
      <c r="BC104" t="s">
        <v>138</v>
      </c>
      <c r="BD104" t="s">
        <v>138</v>
      </c>
      <c r="BE104" t="s">
        <v>138</v>
      </c>
      <c r="BF104" t="s">
        <v>138</v>
      </c>
      <c r="BG104" t="s">
        <v>138</v>
      </c>
      <c r="BH104" t="s">
        <v>138</v>
      </c>
      <c r="BI104" t="s">
        <v>138</v>
      </c>
      <c r="BJ104" t="s">
        <v>138</v>
      </c>
      <c r="BK104" t="s">
        <v>138</v>
      </c>
      <c r="BL104" t="s">
        <v>138</v>
      </c>
      <c r="BM104" t="s">
        <v>138</v>
      </c>
      <c r="BN104" t="s">
        <v>138</v>
      </c>
    </row>
    <row r="105" spans="1:66" x14ac:dyDescent="0.25">
      <c r="A105">
        <f>YEAR([1]chla!A105)</f>
        <v>2024</v>
      </c>
      <c r="B105">
        <f>MONTH([1]chla!A105)</f>
        <v>2</v>
      </c>
      <c r="C105">
        <f>DAY([1]chla!A105)</f>
        <v>15</v>
      </c>
      <c r="D105">
        <v>-64.578890000000001</v>
      </c>
      <c r="E105">
        <v>-54.408900000000003</v>
      </c>
      <c r="F105">
        <v>24.881162162162099</v>
      </c>
      <c r="G105">
        <v>1.0532500986742901</v>
      </c>
      <c r="H105">
        <v>0.244725970242746</v>
      </c>
      <c r="I105">
        <v>0.69210659887908299</v>
      </c>
      <c r="J105">
        <v>0.11641752955246901</v>
      </c>
      <c r="K105" t="s">
        <v>37</v>
      </c>
      <c r="L105" t="s">
        <v>39</v>
      </c>
      <c r="M105" t="s">
        <v>138</v>
      </c>
      <c r="N105" t="s">
        <v>138</v>
      </c>
      <c r="O105" t="s">
        <v>138</v>
      </c>
      <c r="P105" t="s">
        <v>138</v>
      </c>
      <c r="Q105" t="s">
        <v>138</v>
      </c>
      <c r="R105" t="s">
        <v>138</v>
      </c>
      <c r="S105" t="s">
        <v>138</v>
      </c>
      <c r="T105" t="s">
        <v>138</v>
      </c>
      <c r="U105" t="s">
        <v>138</v>
      </c>
      <c r="V105" t="s">
        <v>138</v>
      </c>
      <c r="W105" t="s">
        <v>138</v>
      </c>
      <c r="X105" t="s">
        <v>138</v>
      </c>
      <c r="Y105" t="s">
        <v>138</v>
      </c>
      <c r="Z105" t="s">
        <v>138</v>
      </c>
      <c r="AA105" t="s">
        <v>138</v>
      </c>
      <c r="AB105" t="s">
        <v>138</v>
      </c>
      <c r="AC105" t="s">
        <v>138</v>
      </c>
      <c r="AD105" t="s">
        <v>138</v>
      </c>
      <c r="AE105" t="s">
        <v>138</v>
      </c>
      <c r="AF105" t="s">
        <v>138</v>
      </c>
      <c r="AG105" t="s">
        <v>138</v>
      </c>
      <c r="AH105" t="s">
        <v>138</v>
      </c>
      <c r="AI105" t="s">
        <v>138</v>
      </c>
      <c r="AJ105" t="s">
        <v>138</v>
      </c>
      <c r="AK105" t="s">
        <v>138</v>
      </c>
      <c r="AL105" t="s">
        <v>138</v>
      </c>
      <c r="AM105" t="s">
        <v>138</v>
      </c>
      <c r="AN105" t="s">
        <v>138</v>
      </c>
      <c r="AO105" t="s">
        <v>138</v>
      </c>
      <c r="AP105" t="s">
        <v>138</v>
      </c>
      <c r="AQ105" t="s">
        <v>138</v>
      </c>
      <c r="AR105" t="s">
        <v>138</v>
      </c>
      <c r="AS105" t="s">
        <v>138</v>
      </c>
      <c r="AT105" t="s">
        <v>138</v>
      </c>
      <c r="AU105" t="s">
        <v>138</v>
      </c>
      <c r="AV105" t="s">
        <v>138</v>
      </c>
      <c r="AW105" t="s">
        <v>138</v>
      </c>
      <c r="AX105" t="s">
        <v>138</v>
      </c>
      <c r="AY105" t="s">
        <v>138</v>
      </c>
      <c r="AZ105" t="s">
        <v>138</v>
      </c>
      <c r="BA105" t="s">
        <v>138</v>
      </c>
      <c r="BB105" t="s">
        <v>138</v>
      </c>
      <c r="BC105" t="s">
        <v>138</v>
      </c>
      <c r="BD105" t="s">
        <v>138</v>
      </c>
      <c r="BE105" t="s">
        <v>138</v>
      </c>
      <c r="BF105" t="s">
        <v>138</v>
      </c>
      <c r="BG105" t="s">
        <v>138</v>
      </c>
      <c r="BH105" t="s">
        <v>138</v>
      </c>
      <c r="BI105" t="s">
        <v>138</v>
      </c>
      <c r="BJ105" t="s">
        <v>138</v>
      </c>
      <c r="BK105" t="s">
        <v>138</v>
      </c>
      <c r="BL105" t="s">
        <v>138</v>
      </c>
      <c r="BM105" t="s">
        <v>138</v>
      </c>
      <c r="BN105" t="s">
        <v>138</v>
      </c>
    </row>
    <row r="106" spans="1:66" x14ac:dyDescent="0.25">
      <c r="A106">
        <f>YEAR([1]chla!A106)</f>
        <v>2024</v>
      </c>
      <c r="B106">
        <f>MONTH([1]chla!A106)</f>
        <v>2</v>
      </c>
      <c r="C106">
        <f>DAY([1]chla!A106)</f>
        <v>15</v>
      </c>
      <c r="D106">
        <v>-64.578890000000001</v>
      </c>
      <c r="E106">
        <v>-54.408900000000003</v>
      </c>
      <c r="F106">
        <v>13.950419999999999</v>
      </c>
      <c r="G106">
        <v>1.2909362265103801</v>
      </c>
      <c r="H106">
        <v>0.28857412588847697</v>
      </c>
      <c r="I106">
        <v>0.77575787736189905</v>
      </c>
      <c r="J106">
        <v>0.22660422326000801</v>
      </c>
      <c r="K106" t="s">
        <v>37</v>
      </c>
      <c r="L106" t="s">
        <v>39</v>
      </c>
      <c r="M106" t="s">
        <v>138</v>
      </c>
      <c r="N106" t="s">
        <v>138</v>
      </c>
      <c r="O106" t="s">
        <v>138</v>
      </c>
      <c r="P106" t="s">
        <v>138</v>
      </c>
      <c r="Q106" t="s">
        <v>138</v>
      </c>
      <c r="R106" t="s">
        <v>138</v>
      </c>
      <c r="S106" t="s">
        <v>138</v>
      </c>
      <c r="T106" t="s">
        <v>138</v>
      </c>
      <c r="U106" t="s">
        <v>138</v>
      </c>
      <c r="V106" t="s">
        <v>138</v>
      </c>
      <c r="W106" t="s">
        <v>138</v>
      </c>
      <c r="X106" t="s">
        <v>138</v>
      </c>
      <c r="Y106" t="s">
        <v>138</v>
      </c>
      <c r="Z106" t="s">
        <v>138</v>
      </c>
      <c r="AA106" t="s">
        <v>138</v>
      </c>
      <c r="AB106" t="s">
        <v>138</v>
      </c>
      <c r="AC106" t="s">
        <v>138</v>
      </c>
      <c r="AD106" t="s">
        <v>138</v>
      </c>
      <c r="AE106" t="s">
        <v>138</v>
      </c>
      <c r="AF106" t="s">
        <v>138</v>
      </c>
      <c r="AG106" t="s">
        <v>138</v>
      </c>
      <c r="AH106" t="s">
        <v>138</v>
      </c>
      <c r="AI106" t="s">
        <v>138</v>
      </c>
      <c r="AJ106" t="s">
        <v>138</v>
      </c>
      <c r="AK106" t="s">
        <v>138</v>
      </c>
      <c r="AL106" t="s">
        <v>138</v>
      </c>
      <c r="AM106" t="s">
        <v>138</v>
      </c>
      <c r="AN106" t="s">
        <v>138</v>
      </c>
      <c r="AO106" t="s">
        <v>138</v>
      </c>
      <c r="AP106" t="s">
        <v>138</v>
      </c>
      <c r="AQ106" t="s">
        <v>138</v>
      </c>
      <c r="AR106" t="s">
        <v>138</v>
      </c>
      <c r="AS106" t="s">
        <v>138</v>
      </c>
      <c r="AT106" t="s">
        <v>138</v>
      </c>
      <c r="AU106" t="s">
        <v>138</v>
      </c>
      <c r="AV106" t="s">
        <v>138</v>
      </c>
      <c r="AW106" t="s">
        <v>138</v>
      </c>
      <c r="AX106" t="s">
        <v>138</v>
      </c>
      <c r="AY106" t="s">
        <v>138</v>
      </c>
      <c r="AZ106" t="s">
        <v>138</v>
      </c>
      <c r="BA106" t="s">
        <v>138</v>
      </c>
      <c r="BB106" t="s">
        <v>138</v>
      </c>
      <c r="BC106" t="s">
        <v>138</v>
      </c>
      <c r="BD106" t="s">
        <v>138</v>
      </c>
      <c r="BE106" t="s">
        <v>138</v>
      </c>
      <c r="BF106" t="s">
        <v>138</v>
      </c>
      <c r="BG106" t="s">
        <v>138</v>
      </c>
      <c r="BH106" t="s">
        <v>138</v>
      </c>
      <c r="BI106" t="s">
        <v>138</v>
      </c>
      <c r="BJ106" t="s">
        <v>138</v>
      </c>
      <c r="BK106" t="s">
        <v>138</v>
      </c>
      <c r="BL106" t="s">
        <v>138</v>
      </c>
      <c r="BM106" t="s">
        <v>138</v>
      </c>
      <c r="BN106" t="s">
        <v>138</v>
      </c>
    </row>
    <row r="107" spans="1:66" x14ac:dyDescent="0.25">
      <c r="A107">
        <f>YEAR([1]chla!A107)</f>
        <v>2024</v>
      </c>
      <c r="B107">
        <f>MONTH([1]chla!A107)</f>
        <v>2</v>
      </c>
      <c r="C107">
        <f>DAY([1]chla!A107)</f>
        <v>15</v>
      </c>
      <c r="D107">
        <v>-64.578890000000001</v>
      </c>
      <c r="E107">
        <v>-54.408900000000003</v>
      </c>
      <c r="F107">
        <v>0.65972222222222199</v>
      </c>
      <c r="G107">
        <v>1.2294517278189501</v>
      </c>
      <c r="H107">
        <v>0.24440236761805401</v>
      </c>
      <c r="I107">
        <v>0.71022834586182104</v>
      </c>
      <c r="J107">
        <v>0.27482101433907802</v>
      </c>
      <c r="K107" t="s">
        <v>37</v>
      </c>
      <c r="L107" t="s">
        <v>39</v>
      </c>
      <c r="M107" t="s">
        <v>138</v>
      </c>
      <c r="N107" t="s">
        <v>138</v>
      </c>
      <c r="O107" t="s">
        <v>138</v>
      </c>
      <c r="P107" t="s">
        <v>138</v>
      </c>
      <c r="Q107" t="s">
        <v>138</v>
      </c>
      <c r="R107" t="s">
        <v>138</v>
      </c>
      <c r="S107" t="s">
        <v>138</v>
      </c>
      <c r="T107" t="s">
        <v>138</v>
      </c>
      <c r="U107" t="s">
        <v>138</v>
      </c>
      <c r="V107" t="s">
        <v>138</v>
      </c>
      <c r="W107" t="s">
        <v>138</v>
      </c>
      <c r="X107" t="s">
        <v>138</v>
      </c>
      <c r="Y107" t="s">
        <v>138</v>
      </c>
      <c r="Z107" t="s">
        <v>138</v>
      </c>
      <c r="AA107" t="s">
        <v>138</v>
      </c>
      <c r="AB107" t="s">
        <v>138</v>
      </c>
      <c r="AC107" t="s">
        <v>138</v>
      </c>
      <c r="AD107" t="s">
        <v>138</v>
      </c>
      <c r="AE107" t="s">
        <v>138</v>
      </c>
      <c r="AF107" t="s">
        <v>138</v>
      </c>
      <c r="AG107" t="s">
        <v>138</v>
      </c>
      <c r="AH107" t="s">
        <v>138</v>
      </c>
      <c r="AI107" t="s">
        <v>138</v>
      </c>
      <c r="AJ107" t="s">
        <v>138</v>
      </c>
      <c r="AK107" t="s">
        <v>138</v>
      </c>
      <c r="AL107" t="s">
        <v>138</v>
      </c>
      <c r="AM107" t="s">
        <v>138</v>
      </c>
      <c r="AN107" t="s">
        <v>138</v>
      </c>
      <c r="AO107" t="s">
        <v>138</v>
      </c>
      <c r="AP107" t="s">
        <v>138</v>
      </c>
      <c r="AQ107" t="s">
        <v>138</v>
      </c>
      <c r="AR107" t="s">
        <v>138</v>
      </c>
      <c r="AS107" t="s">
        <v>138</v>
      </c>
      <c r="AT107" t="s">
        <v>138</v>
      </c>
      <c r="AU107" t="s">
        <v>138</v>
      </c>
      <c r="AV107" t="s">
        <v>138</v>
      </c>
      <c r="AW107" t="s">
        <v>138</v>
      </c>
      <c r="AX107" t="s">
        <v>138</v>
      </c>
      <c r="AY107" t="s">
        <v>138</v>
      </c>
      <c r="AZ107" t="s">
        <v>138</v>
      </c>
      <c r="BA107" t="s">
        <v>138</v>
      </c>
      <c r="BB107" t="s">
        <v>138</v>
      </c>
      <c r="BC107" t="s">
        <v>138</v>
      </c>
      <c r="BD107" t="s">
        <v>138</v>
      </c>
      <c r="BE107" t="s">
        <v>138</v>
      </c>
      <c r="BF107" t="s">
        <v>138</v>
      </c>
      <c r="BG107" t="s">
        <v>138</v>
      </c>
      <c r="BH107" t="s">
        <v>138</v>
      </c>
      <c r="BI107" t="s">
        <v>138</v>
      </c>
      <c r="BJ107" t="s">
        <v>138</v>
      </c>
      <c r="BK107" t="s">
        <v>138</v>
      </c>
      <c r="BL107" t="s">
        <v>138</v>
      </c>
      <c r="BM107" t="s">
        <v>138</v>
      </c>
      <c r="BN107" t="s">
        <v>138</v>
      </c>
    </row>
    <row r="108" spans="1:66" x14ac:dyDescent="0.25">
      <c r="A108">
        <f>YEAR([1]chla!A108)</f>
        <v>2024</v>
      </c>
      <c r="B108">
        <f>MONTH([1]chla!A108)</f>
        <v>2</v>
      </c>
      <c r="C108">
        <f>DAY([1]chla!A108)</f>
        <v>15</v>
      </c>
      <c r="D108">
        <v>-64.578890000000001</v>
      </c>
      <c r="E108">
        <v>-54.408900000000003</v>
      </c>
      <c r="F108">
        <v>0.65972222222222199</v>
      </c>
      <c r="G108">
        <v>1.34837569239317</v>
      </c>
      <c r="H108">
        <v>0.27109958415512297</v>
      </c>
      <c r="I108">
        <v>0.80763273589403595</v>
      </c>
      <c r="J108">
        <v>0.26964337234400998</v>
      </c>
      <c r="K108" t="s">
        <v>37</v>
      </c>
      <c r="L108" t="s">
        <v>39</v>
      </c>
      <c r="M108" t="s">
        <v>138</v>
      </c>
      <c r="N108" t="s">
        <v>138</v>
      </c>
      <c r="O108" t="s">
        <v>138</v>
      </c>
      <c r="P108" t="s">
        <v>138</v>
      </c>
      <c r="Q108" t="s">
        <v>138</v>
      </c>
      <c r="R108" t="s">
        <v>138</v>
      </c>
      <c r="S108" t="s">
        <v>138</v>
      </c>
      <c r="T108" t="s">
        <v>138</v>
      </c>
      <c r="U108" t="s">
        <v>138</v>
      </c>
      <c r="V108" t="s">
        <v>138</v>
      </c>
      <c r="W108" t="s">
        <v>138</v>
      </c>
      <c r="X108" t="s">
        <v>138</v>
      </c>
      <c r="Y108" t="s">
        <v>138</v>
      </c>
      <c r="Z108" t="s">
        <v>138</v>
      </c>
      <c r="AA108" t="s">
        <v>138</v>
      </c>
      <c r="AB108" t="s">
        <v>138</v>
      </c>
      <c r="AC108" t="s">
        <v>138</v>
      </c>
      <c r="AD108" t="s">
        <v>138</v>
      </c>
      <c r="AE108" t="s">
        <v>138</v>
      </c>
      <c r="AF108" t="s">
        <v>138</v>
      </c>
      <c r="AG108" t="s">
        <v>138</v>
      </c>
      <c r="AH108" t="s">
        <v>138</v>
      </c>
      <c r="AI108" t="s">
        <v>138</v>
      </c>
      <c r="AJ108" t="s">
        <v>138</v>
      </c>
      <c r="AK108" t="s">
        <v>138</v>
      </c>
      <c r="AL108" t="s">
        <v>138</v>
      </c>
      <c r="AM108" t="s">
        <v>138</v>
      </c>
      <c r="AN108" t="s">
        <v>138</v>
      </c>
      <c r="AO108" t="s">
        <v>138</v>
      </c>
      <c r="AP108" t="s">
        <v>138</v>
      </c>
      <c r="AQ108" t="s">
        <v>138</v>
      </c>
      <c r="AR108" t="s">
        <v>138</v>
      </c>
      <c r="AS108" t="s">
        <v>138</v>
      </c>
      <c r="AT108" t="s">
        <v>138</v>
      </c>
      <c r="AU108" t="s">
        <v>138</v>
      </c>
      <c r="AV108" t="s">
        <v>138</v>
      </c>
      <c r="AW108" t="s">
        <v>138</v>
      </c>
      <c r="AX108" t="s">
        <v>138</v>
      </c>
      <c r="AY108" t="s">
        <v>138</v>
      </c>
      <c r="AZ108" t="s">
        <v>138</v>
      </c>
      <c r="BA108" t="s">
        <v>138</v>
      </c>
      <c r="BB108" t="s">
        <v>138</v>
      </c>
      <c r="BC108" t="s">
        <v>138</v>
      </c>
      <c r="BD108" t="s">
        <v>138</v>
      </c>
      <c r="BE108" t="s">
        <v>138</v>
      </c>
      <c r="BF108" t="s">
        <v>138</v>
      </c>
      <c r="BG108" t="s">
        <v>138</v>
      </c>
      <c r="BH108" t="s">
        <v>138</v>
      </c>
      <c r="BI108" t="s">
        <v>138</v>
      </c>
      <c r="BJ108" t="s">
        <v>138</v>
      </c>
      <c r="BK108" t="s">
        <v>138</v>
      </c>
      <c r="BL108" t="s">
        <v>138</v>
      </c>
      <c r="BM108" t="s">
        <v>138</v>
      </c>
      <c r="BN108" t="s">
        <v>138</v>
      </c>
    </row>
    <row r="109" spans="1:66" x14ac:dyDescent="0.25">
      <c r="A109">
        <f>YEAR([1]chla!A109)</f>
        <v>2024</v>
      </c>
      <c r="B109">
        <f>MONTH([1]chla!A109)</f>
        <v>2</v>
      </c>
      <c r="C109">
        <f>DAY([1]chla!A109)</f>
        <v>15</v>
      </c>
      <c r="D109">
        <v>-64.578890000000001</v>
      </c>
      <c r="E109">
        <v>-54.408900000000003</v>
      </c>
      <c r="F109">
        <v>0.65972222222222199</v>
      </c>
      <c r="G109">
        <v>1.3952980729734701</v>
      </c>
      <c r="H109">
        <v>0.25378684373411498</v>
      </c>
      <c r="I109">
        <v>0.88206133957313804</v>
      </c>
      <c r="J109">
        <v>0.25944988966622001</v>
      </c>
      <c r="K109" t="s">
        <v>37</v>
      </c>
      <c r="L109" t="s">
        <v>39</v>
      </c>
      <c r="M109" t="s">
        <v>138</v>
      </c>
      <c r="N109" t="s">
        <v>138</v>
      </c>
      <c r="O109" t="s">
        <v>138</v>
      </c>
      <c r="P109" t="s">
        <v>138</v>
      </c>
      <c r="Q109" t="s">
        <v>138</v>
      </c>
      <c r="R109" t="s">
        <v>138</v>
      </c>
      <c r="S109" t="s">
        <v>138</v>
      </c>
      <c r="T109" t="s">
        <v>138</v>
      </c>
      <c r="U109" t="s">
        <v>138</v>
      </c>
      <c r="V109" t="s">
        <v>138</v>
      </c>
      <c r="W109" t="s">
        <v>138</v>
      </c>
      <c r="X109" t="s">
        <v>138</v>
      </c>
      <c r="Y109" t="s">
        <v>138</v>
      </c>
      <c r="Z109" t="s">
        <v>138</v>
      </c>
      <c r="AA109" t="s">
        <v>138</v>
      </c>
      <c r="AB109" t="s">
        <v>138</v>
      </c>
      <c r="AC109" t="s">
        <v>138</v>
      </c>
      <c r="AD109" t="s">
        <v>138</v>
      </c>
      <c r="AE109" t="s">
        <v>138</v>
      </c>
      <c r="AF109" t="s">
        <v>138</v>
      </c>
      <c r="AG109" t="s">
        <v>138</v>
      </c>
      <c r="AH109" t="s">
        <v>138</v>
      </c>
      <c r="AI109" t="s">
        <v>138</v>
      </c>
      <c r="AJ109" t="s">
        <v>138</v>
      </c>
      <c r="AK109" t="s">
        <v>138</v>
      </c>
      <c r="AL109" t="s">
        <v>138</v>
      </c>
      <c r="AM109" t="s">
        <v>138</v>
      </c>
      <c r="AN109" t="s">
        <v>138</v>
      </c>
      <c r="AO109" t="s">
        <v>138</v>
      </c>
      <c r="AP109" t="s">
        <v>138</v>
      </c>
      <c r="AQ109" t="s">
        <v>138</v>
      </c>
      <c r="AR109" t="s">
        <v>138</v>
      </c>
      <c r="AS109" t="s">
        <v>138</v>
      </c>
      <c r="AT109" t="s">
        <v>138</v>
      </c>
      <c r="AU109" t="s">
        <v>138</v>
      </c>
      <c r="AV109" t="s">
        <v>138</v>
      </c>
      <c r="AW109" t="s">
        <v>138</v>
      </c>
      <c r="AX109" t="s">
        <v>138</v>
      </c>
      <c r="AY109" t="s">
        <v>138</v>
      </c>
      <c r="AZ109" t="s">
        <v>138</v>
      </c>
      <c r="BA109" t="s">
        <v>138</v>
      </c>
      <c r="BB109" t="s">
        <v>138</v>
      </c>
      <c r="BC109" t="s">
        <v>138</v>
      </c>
      <c r="BD109" t="s">
        <v>138</v>
      </c>
      <c r="BE109" t="s">
        <v>138</v>
      </c>
      <c r="BF109" t="s">
        <v>138</v>
      </c>
      <c r="BG109" t="s">
        <v>138</v>
      </c>
      <c r="BH109" t="s">
        <v>138</v>
      </c>
      <c r="BI109" t="s">
        <v>138</v>
      </c>
      <c r="BJ109" t="s">
        <v>138</v>
      </c>
      <c r="BK109" t="s">
        <v>138</v>
      </c>
      <c r="BL109" t="s">
        <v>138</v>
      </c>
      <c r="BM109" t="s">
        <v>138</v>
      </c>
      <c r="BN109" t="s">
        <v>138</v>
      </c>
    </row>
    <row r="110" spans="1:66" x14ac:dyDescent="0.25">
      <c r="A110">
        <f>YEAR([1]chla!A110)</f>
        <v>2024</v>
      </c>
      <c r="B110">
        <f>MONTH([1]chla!A110)</f>
        <v>2</v>
      </c>
      <c r="C110">
        <f>DAY([1]chla!A110)</f>
        <v>16</v>
      </c>
      <c r="D110">
        <v>-64.57741</v>
      </c>
      <c r="E110">
        <v>-55.039079999999998</v>
      </c>
      <c r="F110">
        <v>202.23928947368401</v>
      </c>
      <c r="G110">
        <v>0.110217557453134</v>
      </c>
      <c r="H110">
        <v>4.96375483624929E-2</v>
      </c>
      <c r="I110">
        <v>5.0137915875006003E-2</v>
      </c>
      <c r="J110">
        <v>1.04420932156352E-2</v>
      </c>
      <c r="K110" t="s">
        <v>40</v>
      </c>
      <c r="L110" t="s">
        <v>41</v>
      </c>
      <c r="M110" t="s">
        <v>138</v>
      </c>
      <c r="N110" t="s">
        <v>138</v>
      </c>
      <c r="O110" t="s">
        <v>138</v>
      </c>
      <c r="P110" t="s">
        <v>138</v>
      </c>
      <c r="Q110" t="s">
        <v>138</v>
      </c>
      <c r="R110" t="s">
        <v>138</v>
      </c>
      <c r="S110" t="s">
        <v>138</v>
      </c>
      <c r="T110" t="s">
        <v>138</v>
      </c>
      <c r="U110" t="s">
        <v>138</v>
      </c>
      <c r="V110" t="s">
        <v>138</v>
      </c>
      <c r="W110" t="s">
        <v>138</v>
      </c>
      <c r="X110" t="s">
        <v>138</v>
      </c>
      <c r="Y110" t="s">
        <v>138</v>
      </c>
      <c r="Z110" t="s">
        <v>138</v>
      </c>
      <c r="AA110" t="s">
        <v>138</v>
      </c>
      <c r="AB110" t="s">
        <v>138</v>
      </c>
      <c r="AC110" t="s">
        <v>138</v>
      </c>
      <c r="AD110" t="s">
        <v>138</v>
      </c>
      <c r="AE110" t="s">
        <v>138</v>
      </c>
      <c r="AF110" t="s">
        <v>138</v>
      </c>
      <c r="AG110" t="s">
        <v>138</v>
      </c>
      <c r="AH110" t="s">
        <v>138</v>
      </c>
      <c r="AI110" t="s">
        <v>138</v>
      </c>
      <c r="AJ110" t="s">
        <v>138</v>
      </c>
      <c r="AK110" t="s">
        <v>138</v>
      </c>
      <c r="AL110" t="s">
        <v>138</v>
      </c>
      <c r="AM110" t="s">
        <v>138</v>
      </c>
      <c r="AN110" t="s">
        <v>138</v>
      </c>
      <c r="AO110" t="s">
        <v>138</v>
      </c>
      <c r="AP110" t="s">
        <v>138</v>
      </c>
      <c r="AQ110" t="s">
        <v>138</v>
      </c>
      <c r="AR110" t="s">
        <v>138</v>
      </c>
      <c r="AS110" t="s">
        <v>138</v>
      </c>
      <c r="AT110" t="s">
        <v>138</v>
      </c>
      <c r="AU110" t="s">
        <v>138</v>
      </c>
      <c r="AV110" t="s">
        <v>138</v>
      </c>
      <c r="AW110" t="s">
        <v>138</v>
      </c>
      <c r="AX110" t="s">
        <v>138</v>
      </c>
      <c r="AY110" t="s">
        <v>138</v>
      </c>
      <c r="AZ110" t="s">
        <v>138</v>
      </c>
      <c r="BA110" t="s">
        <v>138</v>
      </c>
      <c r="BB110" t="s">
        <v>138</v>
      </c>
      <c r="BC110" t="s">
        <v>138</v>
      </c>
      <c r="BD110" t="s">
        <v>138</v>
      </c>
      <c r="BE110" t="s">
        <v>138</v>
      </c>
      <c r="BF110" t="s">
        <v>138</v>
      </c>
      <c r="BG110" t="s">
        <v>138</v>
      </c>
      <c r="BH110" t="s">
        <v>138</v>
      </c>
      <c r="BI110" t="s">
        <v>138</v>
      </c>
      <c r="BJ110" t="s">
        <v>138</v>
      </c>
      <c r="BK110" t="s">
        <v>138</v>
      </c>
      <c r="BL110" t="s">
        <v>138</v>
      </c>
      <c r="BM110" t="s">
        <v>138</v>
      </c>
      <c r="BN110" t="s">
        <v>138</v>
      </c>
    </row>
    <row r="111" spans="1:66" x14ac:dyDescent="0.25">
      <c r="A111">
        <f>YEAR([1]chla!A111)</f>
        <v>2024</v>
      </c>
      <c r="B111">
        <f>MONTH([1]chla!A111)</f>
        <v>2</v>
      </c>
      <c r="C111">
        <f>DAY([1]chla!A111)</f>
        <v>16</v>
      </c>
      <c r="D111">
        <v>-64.57741</v>
      </c>
      <c r="E111">
        <v>-55.039079999999998</v>
      </c>
      <c r="F111">
        <v>52.270078947368397</v>
      </c>
      <c r="G111">
        <v>0.62159315524149905</v>
      </c>
      <c r="H111">
        <v>0.21575956251683401</v>
      </c>
      <c r="I111">
        <v>0.34301969986599301</v>
      </c>
      <c r="J111">
        <v>6.2813892858670603E-2</v>
      </c>
      <c r="K111" t="s">
        <v>40</v>
      </c>
      <c r="L111" t="s">
        <v>41</v>
      </c>
      <c r="M111" t="s">
        <v>138</v>
      </c>
      <c r="N111" t="s">
        <v>138</v>
      </c>
      <c r="O111" t="s">
        <v>138</v>
      </c>
      <c r="P111" t="s">
        <v>138</v>
      </c>
      <c r="Q111" t="s">
        <v>138</v>
      </c>
      <c r="R111" t="s">
        <v>138</v>
      </c>
      <c r="S111" t="s">
        <v>138</v>
      </c>
      <c r="T111" t="s">
        <v>138</v>
      </c>
      <c r="U111" t="s">
        <v>138</v>
      </c>
      <c r="V111" t="s">
        <v>138</v>
      </c>
      <c r="W111" t="s">
        <v>138</v>
      </c>
      <c r="X111" t="s">
        <v>138</v>
      </c>
      <c r="Y111" t="s">
        <v>138</v>
      </c>
      <c r="Z111" t="s">
        <v>138</v>
      </c>
      <c r="AA111" t="s">
        <v>138</v>
      </c>
      <c r="AB111" t="s">
        <v>138</v>
      </c>
      <c r="AC111" t="s">
        <v>138</v>
      </c>
      <c r="AD111" t="s">
        <v>138</v>
      </c>
      <c r="AE111" t="s">
        <v>138</v>
      </c>
      <c r="AF111" t="s">
        <v>138</v>
      </c>
      <c r="AG111" t="s">
        <v>138</v>
      </c>
      <c r="AH111" t="s">
        <v>138</v>
      </c>
      <c r="AI111" t="s">
        <v>138</v>
      </c>
      <c r="AJ111" t="s">
        <v>138</v>
      </c>
      <c r="AK111" t="s">
        <v>138</v>
      </c>
      <c r="AL111" t="s">
        <v>138</v>
      </c>
      <c r="AM111" t="s">
        <v>138</v>
      </c>
      <c r="AN111" t="s">
        <v>138</v>
      </c>
      <c r="AO111" t="s">
        <v>138</v>
      </c>
      <c r="AP111" t="s">
        <v>138</v>
      </c>
      <c r="AQ111" t="s">
        <v>138</v>
      </c>
      <c r="AR111" t="s">
        <v>138</v>
      </c>
      <c r="AS111" t="s">
        <v>138</v>
      </c>
      <c r="AT111" t="s">
        <v>138</v>
      </c>
      <c r="AU111" t="s">
        <v>138</v>
      </c>
      <c r="AV111" t="s">
        <v>138</v>
      </c>
      <c r="AW111" t="s">
        <v>138</v>
      </c>
      <c r="AX111" t="s">
        <v>138</v>
      </c>
      <c r="AY111" t="s">
        <v>138</v>
      </c>
      <c r="AZ111" t="s">
        <v>138</v>
      </c>
      <c r="BA111" t="s">
        <v>138</v>
      </c>
      <c r="BB111" t="s">
        <v>138</v>
      </c>
      <c r="BC111" t="s">
        <v>138</v>
      </c>
      <c r="BD111" t="s">
        <v>138</v>
      </c>
      <c r="BE111" t="s">
        <v>138</v>
      </c>
      <c r="BF111" t="s">
        <v>138</v>
      </c>
      <c r="BG111" t="s">
        <v>138</v>
      </c>
      <c r="BH111" t="s">
        <v>138</v>
      </c>
      <c r="BI111" t="s">
        <v>138</v>
      </c>
      <c r="BJ111" t="s">
        <v>138</v>
      </c>
      <c r="BK111" t="s">
        <v>138</v>
      </c>
      <c r="BL111" t="s">
        <v>138</v>
      </c>
      <c r="BM111" t="s">
        <v>138</v>
      </c>
      <c r="BN111" t="s">
        <v>138</v>
      </c>
    </row>
    <row r="112" spans="1:66" x14ac:dyDescent="0.25">
      <c r="A112">
        <f>YEAR([1]chla!A112)</f>
        <v>2024</v>
      </c>
      <c r="B112">
        <f>MONTH([1]chla!A112)</f>
        <v>2</v>
      </c>
      <c r="C112">
        <f>DAY([1]chla!A112)</f>
        <v>16</v>
      </c>
      <c r="D112">
        <v>-64.57741</v>
      </c>
      <c r="E112">
        <v>-55.039079999999998</v>
      </c>
      <c r="F112">
        <v>35.064081081081</v>
      </c>
      <c r="G112">
        <v>0.97351830570902997</v>
      </c>
      <c r="H112">
        <v>0.18940687352447899</v>
      </c>
      <c r="I112">
        <v>0.71662744254242405</v>
      </c>
      <c r="J112">
        <v>6.7483989642125999E-2</v>
      </c>
      <c r="K112" t="s">
        <v>40</v>
      </c>
      <c r="L112" t="s">
        <v>42</v>
      </c>
      <c r="M112" t="s">
        <v>138</v>
      </c>
      <c r="N112" t="s">
        <v>138</v>
      </c>
      <c r="O112" t="s">
        <v>138</v>
      </c>
      <c r="P112" t="s">
        <v>138</v>
      </c>
      <c r="Q112" t="s">
        <v>138</v>
      </c>
      <c r="R112" t="s">
        <v>138</v>
      </c>
      <c r="S112" t="s">
        <v>138</v>
      </c>
      <c r="T112" t="s">
        <v>138</v>
      </c>
      <c r="U112" t="s">
        <v>138</v>
      </c>
      <c r="V112" t="s">
        <v>138</v>
      </c>
      <c r="W112" t="s">
        <v>138</v>
      </c>
      <c r="X112" t="s">
        <v>138</v>
      </c>
      <c r="Y112" t="s">
        <v>138</v>
      </c>
      <c r="Z112" t="s">
        <v>138</v>
      </c>
      <c r="AA112" t="s">
        <v>138</v>
      </c>
      <c r="AB112" t="s">
        <v>138</v>
      </c>
      <c r="AC112" t="s">
        <v>138</v>
      </c>
      <c r="AD112" t="s">
        <v>138</v>
      </c>
      <c r="AE112" t="s">
        <v>138</v>
      </c>
      <c r="AF112" t="s">
        <v>138</v>
      </c>
      <c r="AG112" t="s">
        <v>138</v>
      </c>
      <c r="AH112" t="s">
        <v>138</v>
      </c>
      <c r="AI112" t="s">
        <v>138</v>
      </c>
      <c r="AJ112" t="s">
        <v>138</v>
      </c>
      <c r="AK112" t="s">
        <v>138</v>
      </c>
      <c r="AL112" t="s">
        <v>138</v>
      </c>
      <c r="AM112" t="s">
        <v>138</v>
      </c>
      <c r="AN112" t="s">
        <v>138</v>
      </c>
      <c r="AO112" t="s">
        <v>138</v>
      </c>
      <c r="AP112" t="s">
        <v>138</v>
      </c>
      <c r="AQ112" t="s">
        <v>138</v>
      </c>
      <c r="AR112" t="s">
        <v>138</v>
      </c>
      <c r="AS112" t="s">
        <v>138</v>
      </c>
      <c r="AT112" t="s">
        <v>138</v>
      </c>
      <c r="AU112" t="s">
        <v>138</v>
      </c>
      <c r="AV112" t="s">
        <v>138</v>
      </c>
      <c r="AW112" t="s">
        <v>138</v>
      </c>
      <c r="AX112" t="s">
        <v>138</v>
      </c>
      <c r="AY112" t="s">
        <v>138</v>
      </c>
      <c r="AZ112" t="s">
        <v>138</v>
      </c>
      <c r="BA112" t="s">
        <v>138</v>
      </c>
      <c r="BB112" t="s">
        <v>138</v>
      </c>
      <c r="BC112" t="s">
        <v>138</v>
      </c>
      <c r="BD112" t="s">
        <v>138</v>
      </c>
      <c r="BE112" t="s">
        <v>138</v>
      </c>
      <c r="BF112" t="s">
        <v>138</v>
      </c>
      <c r="BG112" t="s">
        <v>138</v>
      </c>
      <c r="BH112" t="s">
        <v>138</v>
      </c>
      <c r="BI112" t="s">
        <v>138</v>
      </c>
      <c r="BJ112" t="s">
        <v>138</v>
      </c>
      <c r="BK112" t="s">
        <v>138</v>
      </c>
      <c r="BL112" t="s">
        <v>138</v>
      </c>
      <c r="BM112" t="s">
        <v>138</v>
      </c>
      <c r="BN112" t="s">
        <v>138</v>
      </c>
    </row>
    <row r="113" spans="1:66" x14ac:dyDescent="0.25">
      <c r="A113">
        <f>YEAR([1]chla!A113)</f>
        <v>2024</v>
      </c>
      <c r="B113">
        <f>MONTH([1]chla!A113)</f>
        <v>2</v>
      </c>
      <c r="C113">
        <f>DAY([1]chla!A113)</f>
        <v>16</v>
      </c>
      <c r="D113">
        <v>-64.57741</v>
      </c>
      <c r="E113">
        <v>-55.039079999999998</v>
      </c>
      <c r="F113">
        <v>22.931526315789402</v>
      </c>
      <c r="G113">
        <v>1.0312273588188701</v>
      </c>
      <c r="H113">
        <v>0.18440319839934799</v>
      </c>
      <c r="I113">
        <v>0.76282804286446504</v>
      </c>
      <c r="J113">
        <v>8.3996117555057495E-2</v>
      </c>
      <c r="K113" t="s">
        <v>40</v>
      </c>
      <c r="L113" t="s">
        <v>42</v>
      </c>
      <c r="M113" t="s">
        <v>138</v>
      </c>
      <c r="N113" t="s">
        <v>138</v>
      </c>
      <c r="O113" t="s">
        <v>138</v>
      </c>
      <c r="P113" t="s">
        <v>138</v>
      </c>
      <c r="Q113" t="s">
        <v>138</v>
      </c>
      <c r="R113" t="s">
        <v>138</v>
      </c>
      <c r="S113" t="s">
        <v>138</v>
      </c>
      <c r="T113" t="s">
        <v>138</v>
      </c>
      <c r="U113" t="s">
        <v>138</v>
      </c>
      <c r="V113" t="s">
        <v>138</v>
      </c>
      <c r="W113" t="s">
        <v>138</v>
      </c>
      <c r="X113" t="s">
        <v>138</v>
      </c>
      <c r="Y113" t="s">
        <v>138</v>
      </c>
      <c r="Z113" t="s">
        <v>138</v>
      </c>
      <c r="AA113" t="s">
        <v>138</v>
      </c>
      <c r="AB113" t="s">
        <v>138</v>
      </c>
      <c r="AC113" t="s">
        <v>138</v>
      </c>
      <c r="AD113" t="s">
        <v>138</v>
      </c>
      <c r="AE113" t="s">
        <v>138</v>
      </c>
      <c r="AF113" t="s">
        <v>138</v>
      </c>
      <c r="AG113" t="s">
        <v>138</v>
      </c>
      <c r="AH113" t="s">
        <v>138</v>
      </c>
      <c r="AI113" t="s">
        <v>138</v>
      </c>
      <c r="AJ113" t="s">
        <v>138</v>
      </c>
      <c r="AK113" t="s">
        <v>138</v>
      </c>
      <c r="AL113" t="s">
        <v>138</v>
      </c>
      <c r="AM113" t="s">
        <v>138</v>
      </c>
      <c r="AN113" t="s">
        <v>138</v>
      </c>
      <c r="AO113" t="s">
        <v>138</v>
      </c>
      <c r="AP113" t="s">
        <v>138</v>
      </c>
      <c r="AQ113" t="s">
        <v>138</v>
      </c>
      <c r="AR113" t="s">
        <v>138</v>
      </c>
      <c r="AS113" t="s">
        <v>138</v>
      </c>
      <c r="AT113" t="s">
        <v>138</v>
      </c>
      <c r="AU113" t="s">
        <v>138</v>
      </c>
      <c r="AV113" t="s">
        <v>138</v>
      </c>
      <c r="AW113" t="s">
        <v>138</v>
      </c>
      <c r="AX113" t="s">
        <v>138</v>
      </c>
      <c r="AY113" t="s">
        <v>138</v>
      </c>
      <c r="AZ113" t="s">
        <v>138</v>
      </c>
      <c r="BA113" t="s">
        <v>138</v>
      </c>
      <c r="BB113" t="s">
        <v>138</v>
      </c>
      <c r="BC113" t="s">
        <v>138</v>
      </c>
      <c r="BD113" t="s">
        <v>138</v>
      </c>
      <c r="BE113" t="s">
        <v>138</v>
      </c>
      <c r="BF113" t="s">
        <v>138</v>
      </c>
      <c r="BG113" t="s">
        <v>138</v>
      </c>
      <c r="BH113" t="s">
        <v>138</v>
      </c>
      <c r="BI113" t="s">
        <v>138</v>
      </c>
      <c r="BJ113" t="s">
        <v>138</v>
      </c>
      <c r="BK113" t="s">
        <v>138</v>
      </c>
      <c r="BL113" t="s">
        <v>138</v>
      </c>
      <c r="BM113" t="s">
        <v>138</v>
      </c>
      <c r="BN113" t="s">
        <v>138</v>
      </c>
    </row>
    <row r="114" spans="1:66" x14ac:dyDescent="0.25">
      <c r="A114">
        <f>YEAR([1]chla!A114)</f>
        <v>2024</v>
      </c>
      <c r="B114">
        <f>MONTH([1]chla!A114)</f>
        <v>2</v>
      </c>
      <c r="C114">
        <f>DAY([1]chla!A114)</f>
        <v>16</v>
      </c>
      <c r="D114">
        <v>-64.57741</v>
      </c>
      <c r="E114">
        <v>-55.039079999999998</v>
      </c>
      <c r="F114">
        <v>14.8489830508474</v>
      </c>
      <c r="G114">
        <v>0.92131329523683203</v>
      </c>
      <c r="H114">
        <v>0.17489621566159899</v>
      </c>
      <c r="I114">
        <v>0.63239891126938996</v>
      </c>
      <c r="J114">
        <v>0.11401816830584199</v>
      </c>
      <c r="K114" t="s">
        <v>40</v>
      </c>
      <c r="L114" t="s">
        <v>42</v>
      </c>
      <c r="M114" t="s">
        <v>138</v>
      </c>
      <c r="N114" t="s">
        <v>138</v>
      </c>
      <c r="O114" t="s">
        <v>138</v>
      </c>
      <c r="P114" t="s">
        <v>138</v>
      </c>
      <c r="Q114" t="s">
        <v>138</v>
      </c>
      <c r="R114" t="s">
        <v>138</v>
      </c>
      <c r="S114" t="s">
        <v>138</v>
      </c>
      <c r="T114" t="s">
        <v>138</v>
      </c>
      <c r="U114" t="s">
        <v>138</v>
      </c>
      <c r="V114" t="s">
        <v>138</v>
      </c>
      <c r="W114" t="s">
        <v>138</v>
      </c>
      <c r="X114" t="s">
        <v>138</v>
      </c>
      <c r="Y114" t="s">
        <v>138</v>
      </c>
      <c r="Z114" t="s">
        <v>138</v>
      </c>
      <c r="AA114" t="s">
        <v>138</v>
      </c>
      <c r="AB114" t="s">
        <v>138</v>
      </c>
      <c r="AC114" t="s">
        <v>138</v>
      </c>
      <c r="AD114" t="s">
        <v>138</v>
      </c>
      <c r="AE114" t="s">
        <v>138</v>
      </c>
      <c r="AF114" t="s">
        <v>138</v>
      </c>
      <c r="AG114" t="s">
        <v>138</v>
      </c>
      <c r="AH114" t="s">
        <v>138</v>
      </c>
      <c r="AI114" t="s">
        <v>138</v>
      </c>
      <c r="AJ114" t="s">
        <v>138</v>
      </c>
      <c r="AK114" t="s">
        <v>138</v>
      </c>
      <c r="AL114" t="s">
        <v>138</v>
      </c>
      <c r="AM114" t="s">
        <v>138</v>
      </c>
      <c r="AN114" t="s">
        <v>138</v>
      </c>
      <c r="AO114" t="s">
        <v>138</v>
      </c>
      <c r="AP114" t="s">
        <v>138</v>
      </c>
      <c r="AQ114" t="s">
        <v>138</v>
      </c>
      <c r="AR114" t="s">
        <v>138</v>
      </c>
      <c r="AS114" t="s">
        <v>138</v>
      </c>
      <c r="AT114" t="s">
        <v>138</v>
      </c>
      <c r="AU114" t="s">
        <v>138</v>
      </c>
      <c r="AV114" t="s">
        <v>138</v>
      </c>
      <c r="AW114" t="s">
        <v>138</v>
      </c>
      <c r="AX114" t="s">
        <v>138</v>
      </c>
      <c r="AY114" t="s">
        <v>138</v>
      </c>
      <c r="AZ114" t="s">
        <v>138</v>
      </c>
      <c r="BA114" t="s">
        <v>138</v>
      </c>
      <c r="BB114" t="s">
        <v>138</v>
      </c>
      <c r="BC114" t="s">
        <v>138</v>
      </c>
      <c r="BD114" t="s">
        <v>138</v>
      </c>
      <c r="BE114" t="s">
        <v>138</v>
      </c>
      <c r="BF114" t="s">
        <v>138</v>
      </c>
      <c r="BG114" t="s">
        <v>138</v>
      </c>
      <c r="BH114" t="s">
        <v>138</v>
      </c>
      <c r="BI114" t="s">
        <v>138</v>
      </c>
      <c r="BJ114" t="s">
        <v>138</v>
      </c>
      <c r="BK114" t="s">
        <v>138</v>
      </c>
      <c r="BL114" t="s">
        <v>138</v>
      </c>
      <c r="BM114" t="s">
        <v>138</v>
      </c>
      <c r="BN114" t="s">
        <v>138</v>
      </c>
    </row>
    <row r="115" spans="1:66" x14ac:dyDescent="0.25">
      <c r="A115">
        <f>YEAR([1]chla!A115)</f>
        <v>2024</v>
      </c>
      <c r="B115">
        <f>MONTH([1]chla!A115)</f>
        <v>2</v>
      </c>
      <c r="C115">
        <f>DAY([1]chla!A115)</f>
        <v>16</v>
      </c>
      <c r="D115">
        <v>-64.57741</v>
      </c>
      <c r="E115">
        <v>-55.039079999999998</v>
      </c>
      <c r="F115">
        <v>7.7070722891566197</v>
      </c>
      <c r="G115">
        <v>0.84825963840992302</v>
      </c>
      <c r="H115">
        <v>0.10467797473893101</v>
      </c>
      <c r="I115">
        <v>0.65841802192007004</v>
      </c>
      <c r="J115">
        <v>8.5163641750921407E-2</v>
      </c>
      <c r="K115" t="s">
        <v>40</v>
      </c>
      <c r="L115" t="s">
        <v>42</v>
      </c>
      <c r="M115" t="s">
        <v>196</v>
      </c>
      <c r="N115" t="s">
        <v>129</v>
      </c>
      <c r="O115" s="3">
        <v>45338</v>
      </c>
      <c r="P115" t="s">
        <v>130</v>
      </c>
      <c r="Q115">
        <v>-64.584626066666601</v>
      </c>
      <c r="R115">
        <v>-55.058077016666601</v>
      </c>
      <c r="S115" t="s">
        <v>131</v>
      </c>
      <c r="T115">
        <v>7</v>
      </c>
      <c r="U115">
        <v>1000</v>
      </c>
      <c r="V115" t="s">
        <v>111</v>
      </c>
      <c r="W115">
        <v>0.22462692620550639</v>
      </c>
      <c r="X115">
        <v>4.6542930162485454E-3</v>
      </c>
      <c r="Y115">
        <v>5.7174538058510457E-2</v>
      </c>
      <c r="Z115">
        <v>1.522074683252524E-2</v>
      </c>
      <c r="AA115">
        <v>4.3502360001292158E-2</v>
      </c>
      <c r="AB115">
        <v>4.2388936179218607E-2</v>
      </c>
      <c r="AC115">
        <v>2.495426800514974E-3</v>
      </c>
      <c r="AD115">
        <v>4.7753131432332702E-2</v>
      </c>
      <c r="AE115">
        <v>0.83304847662767734</v>
      </c>
      <c r="AF115">
        <v>0.88080160806001007</v>
      </c>
      <c r="AG115">
        <v>0.47228575241859561</v>
      </c>
      <c r="AH115">
        <v>0.68451465547522938</v>
      </c>
      <c r="AI115">
        <v>0.22029108478007731</v>
      </c>
      <c r="AJ115">
        <v>9.5194259744693241E-2</v>
      </c>
      <c r="AK115">
        <v>0.6029216092832258</v>
      </c>
      <c r="AL115">
        <v>0.19403274171557611</v>
      </c>
      <c r="AM115">
        <v>8.3847257061208089E-2</v>
      </c>
      <c r="AN115">
        <v>0.80289294069943851</v>
      </c>
      <c r="AO115">
        <v>2.9537996336542069E-2</v>
      </c>
      <c r="AP115">
        <v>0.60204776680780403</v>
      </c>
      <c r="AQ115">
        <v>0.36841423685565378</v>
      </c>
      <c r="AR115">
        <v>2.6017114672096942E-2</v>
      </c>
      <c r="AS115">
        <v>0.53028464113325169</v>
      </c>
      <c r="AT115">
        <v>0.32449985225466133</v>
      </c>
      <c r="AU115">
        <v>0.63180491880653977</v>
      </c>
      <c r="AV115">
        <v>3.2089174307125068E-3</v>
      </c>
      <c r="AW115">
        <v>0.1235310899746937</v>
      </c>
      <c r="AX115">
        <v>0.25548314531495703</v>
      </c>
      <c r="AY115">
        <v>0.62098576471034916</v>
      </c>
      <c r="AZ115">
        <v>0.108806382695116</v>
      </c>
      <c r="BA115">
        <v>0.22502996522564331</v>
      </c>
      <c r="BB115">
        <v>0.54696526013925062</v>
      </c>
      <c r="BC115">
        <v>0.49542678917180921</v>
      </c>
      <c r="BD115">
        <v>1.608833500384297E-2</v>
      </c>
      <c r="BE115">
        <v>0.1186321824334448</v>
      </c>
      <c r="BF115">
        <v>0.32561350386216459</v>
      </c>
      <c r="BG115">
        <v>0.55575431370439066</v>
      </c>
      <c r="BH115">
        <v>0.1044914170550466</v>
      </c>
      <c r="BI115">
        <v>0.2868008978078489</v>
      </c>
      <c r="BJ115">
        <v>0.48950929319711461</v>
      </c>
      <c r="BK115" t="s">
        <v>138</v>
      </c>
      <c r="BL115" t="s">
        <v>138</v>
      </c>
      <c r="BM115" t="s">
        <v>138</v>
      </c>
      <c r="BN115" t="s">
        <v>138</v>
      </c>
    </row>
    <row r="116" spans="1:66" x14ac:dyDescent="0.25">
      <c r="A116">
        <f>YEAR([1]chla!A116)</f>
        <v>2024</v>
      </c>
      <c r="B116">
        <f>MONTH([1]chla!A116)</f>
        <v>2</v>
      </c>
      <c r="C116">
        <f>DAY([1]chla!A116)</f>
        <v>16</v>
      </c>
      <c r="D116">
        <v>-64.57741</v>
      </c>
      <c r="E116">
        <v>-55.039079999999998</v>
      </c>
      <c r="F116">
        <v>1.1926249999999901</v>
      </c>
      <c r="G116">
        <v>0.57656007911532203</v>
      </c>
      <c r="H116">
        <v>0.118855054260135</v>
      </c>
      <c r="I116">
        <v>0.36470229207489302</v>
      </c>
      <c r="J116">
        <v>9.3002732780292904E-2</v>
      </c>
      <c r="K116" t="s">
        <v>40</v>
      </c>
      <c r="L116" t="s">
        <v>42</v>
      </c>
      <c r="M116" t="s">
        <v>138</v>
      </c>
      <c r="N116" t="s">
        <v>138</v>
      </c>
      <c r="O116" t="s">
        <v>138</v>
      </c>
      <c r="P116" t="s">
        <v>138</v>
      </c>
      <c r="Q116" t="s">
        <v>138</v>
      </c>
      <c r="R116" t="s">
        <v>138</v>
      </c>
      <c r="S116" t="s">
        <v>138</v>
      </c>
      <c r="T116" t="s">
        <v>138</v>
      </c>
      <c r="U116" t="s">
        <v>138</v>
      </c>
      <c r="V116" t="s">
        <v>138</v>
      </c>
      <c r="W116" t="s">
        <v>138</v>
      </c>
      <c r="X116" t="s">
        <v>138</v>
      </c>
      <c r="Y116" t="s">
        <v>138</v>
      </c>
      <c r="Z116" t="s">
        <v>138</v>
      </c>
      <c r="AA116" t="s">
        <v>138</v>
      </c>
      <c r="AB116" t="s">
        <v>138</v>
      </c>
      <c r="AC116" t="s">
        <v>138</v>
      </c>
      <c r="AD116" t="s">
        <v>138</v>
      </c>
      <c r="AE116" t="s">
        <v>138</v>
      </c>
      <c r="AF116" t="s">
        <v>138</v>
      </c>
      <c r="AG116" t="s">
        <v>138</v>
      </c>
      <c r="AH116" t="s">
        <v>138</v>
      </c>
      <c r="AI116" t="s">
        <v>138</v>
      </c>
      <c r="AJ116" t="s">
        <v>138</v>
      </c>
      <c r="AK116" t="s">
        <v>138</v>
      </c>
      <c r="AL116" t="s">
        <v>138</v>
      </c>
      <c r="AM116" t="s">
        <v>138</v>
      </c>
      <c r="AN116" t="s">
        <v>138</v>
      </c>
      <c r="AO116" t="s">
        <v>138</v>
      </c>
      <c r="AP116" t="s">
        <v>138</v>
      </c>
      <c r="AQ116" t="s">
        <v>138</v>
      </c>
      <c r="AR116" t="s">
        <v>138</v>
      </c>
      <c r="AS116" t="s">
        <v>138</v>
      </c>
      <c r="AT116" t="s">
        <v>138</v>
      </c>
      <c r="AU116" t="s">
        <v>138</v>
      </c>
      <c r="AV116" t="s">
        <v>138</v>
      </c>
      <c r="AW116" t="s">
        <v>138</v>
      </c>
      <c r="AX116" t="s">
        <v>138</v>
      </c>
      <c r="AY116" t="s">
        <v>138</v>
      </c>
      <c r="AZ116" t="s">
        <v>138</v>
      </c>
      <c r="BA116" t="s">
        <v>138</v>
      </c>
      <c r="BB116" t="s">
        <v>138</v>
      </c>
      <c r="BC116" t="s">
        <v>138</v>
      </c>
      <c r="BD116" t="s">
        <v>138</v>
      </c>
      <c r="BE116" t="s">
        <v>138</v>
      </c>
      <c r="BF116" t="s">
        <v>138</v>
      </c>
      <c r="BG116" t="s">
        <v>138</v>
      </c>
      <c r="BH116" t="s">
        <v>138</v>
      </c>
      <c r="BI116" t="s">
        <v>138</v>
      </c>
      <c r="BJ116" t="s">
        <v>138</v>
      </c>
      <c r="BK116">
        <v>2.4057080810105731</v>
      </c>
      <c r="BL116">
        <v>0.30322653404305372</v>
      </c>
      <c r="BM116">
        <v>0.68938363513280909</v>
      </c>
      <c r="BN116">
        <v>0.81941824461213042</v>
      </c>
    </row>
    <row r="117" spans="1:66" x14ac:dyDescent="0.25">
      <c r="A117">
        <f>YEAR([1]chla!A117)</f>
        <v>2024</v>
      </c>
      <c r="B117">
        <f>MONTH([1]chla!A117)</f>
        <v>2</v>
      </c>
      <c r="C117">
        <f>DAY([1]chla!A117)</f>
        <v>16</v>
      </c>
      <c r="D117">
        <v>-64.57741</v>
      </c>
      <c r="E117">
        <v>-55.039079999999998</v>
      </c>
      <c r="F117">
        <v>1.1926249999999901</v>
      </c>
      <c r="G117">
        <v>0.73467621306945396</v>
      </c>
      <c r="H117">
        <v>9.5838148684533706E-2</v>
      </c>
      <c r="I117">
        <v>0.58803299182656399</v>
      </c>
      <c r="J117">
        <v>5.0805072558356701E-2</v>
      </c>
      <c r="K117" t="s">
        <v>40</v>
      </c>
      <c r="L117" t="s">
        <v>42</v>
      </c>
      <c r="M117" t="s">
        <v>138</v>
      </c>
      <c r="N117" t="s">
        <v>138</v>
      </c>
      <c r="O117" s="3" t="s">
        <v>138</v>
      </c>
      <c r="P117" t="s">
        <v>138</v>
      </c>
      <c r="Q117" t="s">
        <v>138</v>
      </c>
      <c r="R117" t="s">
        <v>138</v>
      </c>
      <c r="S117" t="s">
        <v>138</v>
      </c>
      <c r="T117" t="s">
        <v>138</v>
      </c>
      <c r="U117" t="s">
        <v>138</v>
      </c>
      <c r="V117" t="s">
        <v>138</v>
      </c>
      <c r="W117" t="s">
        <v>138</v>
      </c>
      <c r="X117" t="s">
        <v>138</v>
      </c>
      <c r="Y117" t="s">
        <v>138</v>
      </c>
      <c r="Z117" t="s">
        <v>138</v>
      </c>
      <c r="AA117" t="s">
        <v>138</v>
      </c>
      <c r="AB117" t="s">
        <v>138</v>
      </c>
      <c r="AC117" t="s">
        <v>138</v>
      </c>
      <c r="AD117" t="s">
        <v>138</v>
      </c>
      <c r="AE117" t="s">
        <v>138</v>
      </c>
      <c r="AF117" t="s">
        <v>138</v>
      </c>
      <c r="AG117" t="s">
        <v>138</v>
      </c>
      <c r="AH117" t="s">
        <v>138</v>
      </c>
      <c r="AI117" t="s">
        <v>138</v>
      </c>
      <c r="AJ117" t="s">
        <v>138</v>
      </c>
      <c r="AK117" t="s">
        <v>138</v>
      </c>
      <c r="AL117" t="s">
        <v>138</v>
      </c>
      <c r="AM117" t="s">
        <v>138</v>
      </c>
      <c r="AN117" t="s">
        <v>138</v>
      </c>
      <c r="AO117" t="s">
        <v>138</v>
      </c>
      <c r="AP117" t="s">
        <v>138</v>
      </c>
      <c r="AQ117" t="s">
        <v>138</v>
      </c>
      <c r="AR117" t="s">
        <v>138</v>
      </c>
      <c r="AS117" t="s">
        <v>138</v>
      </c>
      <c r="AT117" t="s">
        <v>138</v>
      </c>
      <c r="AU117" t="s">
        <v>138</v>
      </c>
      <c r="AV117" t="s">
        <v>138</v>
      </c>
      <c r="AW117" t="s">
        <v>138</v>
      </c>
      <c r="AX117" t="s">
        <v>138</v>
      </c>
      <c r="AY117" t="s">
        <v>138</v>
      </c>
      <c r="AZ117" t="s">
        <v>138</v>
      </c>
      <c r="BA117" t="s">
        <v>138</v>
      </c>
      <c r="BB117" t="s">
        <v>138</v>
      </c>
      <c r="BC117" t="s">
        <v>138</v>
      </c>
      <c r="BD117" t="s">
        <v>138</v>
      </c>
      <c r="BE117" t="s">
        <v>138</v>
      </c>
      <c r="BF117" t="s">
        <v>138</v>
      </c>
      <c r="BG117" t="s">
        <v>138</v>
      </c>
      <c r="BH117" t="s">
        <v>138</v>
      </c>
      <c r="BI117" t="s">
        <v>138</v>
      </c>
      <c r="BJ117" t="s">
        <v>138</v>
      </c>
      <c r="BK117">
        <v>2.4057080810105731</v>
      </c>
      <c r="BL117">
        <v>0.30322653404305372</v>
      </c>
      <c r="BM117">
        <v>0.68938363513280909</v>
      </c>
      <c r="BN117">
        <v>0.81941824461213042</v>
      </c>
    </row>
    <row r="118" spans="1:66" x14ac:dyDescent="0.25">
      <c r="A118">
        <f>YEAR([1]chla!A118)</f>
        <v>2024</v>
      </c>
      <c r="B118">
        <f>MONTH([1]chla!A118)</f>
        <v>2</v>
      </c>
      <c r="C118">
        <f>DAY([1]chla!A118)</f>
        <v>16</v>
      </c>
      <c r="D118">
        <v>-64.57741</v>
      </c>
      <c r="E118">
        <v>-55.039079999999998</v>
      </c>
      <c r="F118">
        <v>1.1926249999999901</v>
      </c>
      <c r="G118">
        <v>0.55771290281066299</v>
      </c>
      <c r="H118">
        <v>8.8666214338512905E-2</v>
      </c>
      <c r="I118">
        <v>0.41140325990944698</v>
      </c>
      <c r="J118">
        <v>5.7643428562702097E-2</v>
      </c>
      <c r="K118" t="s">
        <v>40</v>
      </c>
      <c r="L118" t="s">
        <v>42</v>
      </c>
      <c r="M118" t="s">
        <v>138</v>
      </c>
      <c r="N118" t="s">
        <v>138</v>
      </c>
      <c r="O118" s="3" t="s">
        <v>138</v>
      </c>
      <c r="P118" t="s">
        <v>138</v>
      </c>
      <c r="Q118" t="s">
        <v>138</v>
      </c>
      <c r="R118" t="s">
        <v>138</v>
      </c>
      <c r="S118" t="s">
        <v>138</v>
      </c>
      <c r="T118" t="s">
        <v>138</v>
      </c>
      <c r="U118" t="s">
        <v>138</v>
      </c>
      <c r="V118" t="s">
        <v>138</v>
      </c>
      <c r="W118" t="s">
        <v>138</v>
      </c>
      <c r="X118" t="s">
        <v>138</v>
      </c>
      <c r="Y118" t="s">
        <v>138</v>
      </c>
      <c r="Z118" t="s">
        <v>138</v>
      </c>
      <c r="AA118" t="s">
        <v>138</v>
      </c>
      <c r="AB118" t="s">
        <v>138</v>
      </c>
      <c r="AC118" t="s">
        <v>138</v>
      </c>
      <c r="AD118" t="s">
        <v>138</v>
      </c>
      <c r="AE118" t="s">
        <v>138</v>
      </c>
      <c r="AF118" t="s">
        <v>138</v>
      </c>
      <c r="AG118" t="s">
        <v>138</v>
      </c>
      <c r="AH118" t="s">
        <v>138</v>
      </c>
      <c r="AI118" t="s">
        <v>138</v>
      </c>
      <c r="AJ118" t="s">
        <v>138</v>
      </c>
      <c r="AK118" t="s">
        <v>138</v>
      </c>
      <c r="AL118" t="s">
        <v>138</v>
      </c>
      <c r="AM118" t="s">
        <v>138</v>
      </c>
      <c r="AN118" t="s">
        <v>138</v>
      </c>
      <c r="AO118" t="s">
        <v>138</v>
      </c>
      <c r="AP118" t="s">
        <v>138</v>
      </c>
      <c r="AQ118" t="s">
        <v>138</v>
      </c>
      <c r="AR118" t="s">
        <v>138</v>
      </c>
      <c r="AS118" t="s">
        <v>138</v>
      </c>
      <c r="AT118" t="s">
        <v>138</v>
      </c>
      <c r="AU118" t="s">
        <v>138</v>
      </c>
      <c r="AV118" t="s">
        <v>138</v>
      </c>
      <c r="AW118" t="s">
        <v>138</v>
      </c>
      <c r="AX118" t="s">
        <v>138</v>
      </c>
      <c r="AY118" t="s">
        <v>138</v>
      </c>
      <c r="AZ118" t="s">
        <v>138</v>
      </c>
      <c r="BA118" t="s">
        <v>138</v>
      </c>
      <c r="BB118" t="s">
        <v>138</v>
      </c>
      <c r="BC118" t="s">
        <v>138</v>
      </c>
      <c r="BD118" t="s">
        <v>138</v>
      </c>
      <c r="BE118" t="s">
        <v>138</v>
      </c>
      <c r="BF118" t="s">
        <v>138</v>
      </c>
      <c r="BG118" t="s">
        <v>138</v>
      </c>
      <c r="BH118" t="s">
        <v>138</v>
      </c>
      <c r="BI118" t="s">
        <v>138</v>
      </c>
      <c r="BJ118" t="s">
        <v>138</v>
      </c>
      <c r="BK118">
        <v>2.4057080810105731</v>
      </c>
      <c r="BL118">
        <v>0.30322653404305372</v>
      </c>
      <c r="BM118">
        <v>0.68938363513280909</v>
      </c>
      <c r="BN118">
        <v>0.81941824461213042</v>
      </c>
    </row>
    <row r="119" spans="1:66" x14ac:dyDescent="0.25">
      <c r="A119">
        <f>YEAR([1]chla!A119)</f>
        <v>2024</v>
      </c>
      <c r="B119">
        <f>MONTH([1]chla!A119)</f>
        <v>2</v>
      </c>
      <c r="C119">
        <f>DAY([1]chla!A119)</f>
        <v>19</v>
      </c>
      <c r="D119">
        <v>-66.35942</v>
      </c>
      <c r="E119">
        <v>-55.987520000000004</v>
      </c>
      <c r="F119">
        <v>200.97092105263101</v>
      </c>
      <c r="G119">
        <v>0.11388691921156301</v>
      </c>
      <c r="H119">
        <v>7.2487664767256793E-2</v>
      </c>
      <c r="I119">
        <v>3.2458263766210603E-2</v>
      </c>
      <c r="J119">
        <v>8.9409906780959694E-3</v>
      </c>
      <c r="K119" t="s">
        <v>43</v>
      </c>
      <c r="L119" t="s">
        <v>44</v>
      </c>
      <c r="M119" t="s">
        <v>138</v>
      </c>
      <c r="N119" t="s">
        <v>138</v>
      </c>
      <c r="O119" s="3" t="s">
        <v>138</v>
      </c>
      <c r="P119" t="s">
        <v>138</v>
      </c>
      <c r="Q119" t="s">
        <v>138</v>
      </c>
      <c r="R119" t="s">
        <v>138</v>
      </c>
      <c r="S119" t="s">
        <v>138</v>
      </c>
      <c r="T119" t="s">
        <v>138</v>
      </c>
      <c r="U119" t="s">
        <v>138</v>
      </c>
      <c r="V119" t="s">
        <v>138</v>
      </c>
      <c r="W119" t="s">
        <v>138</v>
      </c>
      <c r="X119" t="s">
        <v>138</v>
      </c>
      <c r="Y119" t="s">
        <v>138</v>
      </c>
      <c r="Z119" t="s">
        <v>138</v>
      </c>
      <c r="AA119" t="s">
        <v>138</v>
      </c>
      <c r="AB119" t="s">
        <v>138</v>
      </c>
      <c r="AC119" t="s">
        <v>138</v>
      </c>
      <c r="AD119" t="s">
        <v>138</v>
      </c>
      <c r="AE119" t="s">
        <v>138</v>
      </c>
      <c r="AF119" t="s">
        <v>138</v>
      </c>
      <c r="AG119" t="s">
        <v>138</v>
      </c>
      <c r="AH119" t="s">
        <v>138</v>
      </c>
      <c r="AI119" t="s">
        <v>138</v>
      </c>
      <c r="AJ119" t="s">
        <v>138</v>
      </c>
      <c r="AK119" t="s">
        <v>138</v>
      </c>
      <c r="AL119" t="s">
        <v>138</v>
      </c>
      <c r="AM119" t="s">
        <v>138</v>
      </c>
      <c r="AN119" t="s">
        <v>138</v>
      </c>
      <c r="AO119" t="s">
        <v>138</v>
      </c>
      <c r="AP119" t="s">
        <v>138</v>
      </c>
      <c r="AQ119" t="s">
        <v>138</v>
      </c>
      <c r="AR119" t="s">
        <v>138</v>
      </c>
      <c r="AS119" t="s">
        <v>138</v>
      </c>
      <c r="AT119" t="s">
        <v>138</v>
      </c>
      <c r="AU119" t="s">
        <v>138</v>
      </c>
      <c r="AV119" t="s">
        <v>138</v>
      </c>
      <c r="AW119" t="s">
        <v>138</v>
      </c>
      <c r="AX119" t="s">
        <v>138</v>
      </c>
      <c r="AY119" t="s">
        <v>138</v>
      </c>
      <c r="AZ119" t="s">
        <v>138</v>
      </c>
      <c r="BA119" t="s">
        <v>138</v>
      </c>
      <c r="BB119" t="s">
        <v>138</v>
      </c>
      <c r="BC119" t="s">
        <v>138</v>
      </c>
      <c r="BD119" t="s">
        <v>138</v>
      </c>
      <c r="BE119" t="s">
        <v>138</v>
      </c>
      <c r="BF119" t="s">
        <v>138</v>
      </c>
      <c r="BG119" t="s">
        <v>138</v>
      </c>
      <c r="BH119" t="s">
        <v>138</v>
      </c>
      <c r="BI119" t="s">
        <v>138</v>
      </c>
      <c r="BJ119" t="s">
        <v>138</v>
      </c>
      <c r="BK119" t="s">
        <v>138</v>
      </c>
      <c r="BL119" t="s">
        <v>138</v>
      </c>
      <c r="BM119" t="s">
        <v>138</v>
      </c>
      <c r="BN119" t="s">
        <v>138</v>
      </c>
    </row>
    <row r="120" spans="1:66" x14ac:dyDescent="0.25">
      <c r="A120">
        <f>YEAR([1]chla!A120)</f>
        <v>2024</v>
      </c>
      <c r="B120">
        <f>MONTH([1]chla!A120)</f>
        <v>2</v>
      </c>
      <c r="C120">
        <f>DAY([1]chla!A120)</f>
        <v>19</v>
      </c>
      <c r="D120">
        <v>-66.35942</v>
      </c>
      <c r="E120">
        <v>-55.987520000000004</v>
      </c>
      <c r="F120">
        <v>89.372443037974605</v>
      </c>
      <c r="G120">
        <v>0.49183118032977402</v>
      </c>
      <c r="H120">
        <v>0.40489848224677699</v>
      </c>
      <c r="I120">
        <v>7.5323080671497497E-2</v>
      </c>
      <c r="J120">
        <v>1.1609617411499001E-2</v>
      </c>
      <c r="K120" t="s">
        <v>43</v>
      </c>
      <c r="L120" t="s">
        <v>44</v>
      </c>
      <c r="M120" t="s">
        <v>138</v>
      </c>
      <c r="N120" t="s">
        <v>138</v>
      </c>
      <c r="O120" s="3" t="s">
        <v>138</v>
      </c>
      <c r="P120" t="s">
        <v>138</v>
      </c>
      <c r="Q120" t="s">
        <v>138</v>
      </c>
      <c r="R120" t="s">
        <v>138</v>
      </c>
      <c r="S120" t="s">
        <v>138</v>
      </c>
      <c r="T120" t="s">
        <v>138</v>
      </c>
      <c r="U120" t="s">
        <v>138</v>
      </c>
      <c r="V120" t="s">
        <v>138</v>
      </c>
      <c r="W120" t="s">
        <v>138</v>
      </c>
      <c r="X120" t="s">
        <v>138</v>
      </c>
      <c r="Y120" t="s">
        <v>138</v>
      </c>
      <c r="Z120" t="s">
        <v>138</v>
      </c>
      <c r="AA120" t="s">
        <v>138</v>
      </c>
      <c r="AB120" t="s">
        <v>138</v>
      </c>
      <c r="AC120" t="s">
        <v>138</v>
      </c>
      <c r="AD120" t="s">
        <v>138</v>
      </c>
      <c r="AE120" t="s">
        <v>138</v>
      </c>
      <c r="AF120" t="s">
        <v>138</v>
      </c>
      <c r="AG120" t="s">
        <v>138</v>
      </c>
      <c r="AH120" t="s">
        <v>138</v>
      </c>
      <c r="AI120" t="s">
        <v>138</v>
      </c>
      <c r="AJ120" t="s">
        <v>138</v>
      </c>
      <c r="AK120" t="s">
        <v>138</v>
      </c>
      <c r="AL120" t="s">
        <v>138</v>
      </c>
      <c r="AM120" t="s">
        <v>138</v>
      </c>
      <c r="AN120" t="s">
        <v>138</v>
      </c>
      <c r="AO120" t="s">
        <v>138</v>
      </c>
      <c r="AP120" t="s">
        <v>138</v>
      </c>
      <c r="AQ120" t="s">
        <v>138</v>
      </c>
      <c r="AR120" t="s">
        <v>138</v>
      </c>
      <c r="AS120" t="s">
        <v>138</v>
      </c>
      <c r="AT120" t="s">
        <v>138</v>
      </c>
      <c r="AU120" t="s">
        <v>138</v>
      </c>
      <c r="AV120" t="s">
        <v>138</v>
      </c>
      <c r="AW120" t="s">
        <v>138</v>
      </c>
      <c r="AX120" t="s">
        <v>138</v>
      </c>
      <c r="AY120" t="s">
        <v>138</v>
      </c>
      <c r="AZ120" t="s">
        <v>138</v>
      </c>
      <c r="BA120" t="s">
        <v>138</v>
      </c>
      <c r="BB120" t="s">
        <v>138</v>
      </c>
      <c r="BC120" t="s">
        <v>138</v>
      </c>
      <c r="BD120" t="s">
        <v>138</v>
      </c>
      <c r="BE120" t="s">
        <v>138</v>
      </c>
      <c r="BF120" t="s">
        <v>138</v>
      </c>
      <c r="BG120" t="s">
        <v>138</v>
      </c>
      <c r="BH120" t="s">
        <v>138</v>
      </c>
      <c r="BI120" t="s">
        <v>138</v>
      </c>
      <c r="BJ120" t="s">
        <v>138</v>
      </c>
      <c r="BK120" t="s">
        <v>138</v>
      </c>
      <c r="BL120" t="s">
        <v>138</v>
      </c>
      <c r="BM120" t="s">
        <v>138</v>
      </c>
      <c r="BN120" t="s">
        <v>138</v>
      </c>
    </row>
    <row r="121" spans="1:66" x14ac:dyDescent="0.25">
      <c r="A121">
        <f>YEAR([1]chla!A121)</f>
        <v>2024</v>
      </c>
      <c r="B121">
        <f>MONTH([1]chla!A121)</f>
        <v>2</v>
      </c>
      <c r="C121">
        <f>DAY([1]chla!A121)</f>
        <v>19</v>
      </c>
      <c r="D121">
        <v>-66.35942</v>
      </c>
      <c r="E121">
        <v>-55.987520000000004</v>
      </c>
      <c r="F121">
        <v>89.372443037974605</v>
      </c>
      <c r="G121">
        <v>0.61642269094553004</v>
      </c>
      <c r="H121">
        <v>0.52165090183316198</v>
      </c>
      <c r="I121">
        <v>8.0827123309141394E-2</v>
      </c>
      <c r="J121">
        <v>1.3944665803226701E-2</v>
      </c>
      <c r="K121" t="s">
        <v>43</v>
      </c>
      <c r="L121" t="s">
        <v>45</v>
      </c>
      <c r="M121" t="s">
        <v>138</v>
      </c>
      <c r="N121" t="s">
        <v>138</v>
      </c>
      <c r="O121" s="3" t="s">
        <v>138</v>
      </c>
      <c r="P121" t="s">
        <v>138</v>
      </c>
      <c r="Q121" t="s">
        <v>138</v>
      </c>
      <c r="R121" t="s">
        <v>138</v>
      </c>
      <c r="S121" t="s">
        <v>138</v>
      </c>
      <c r="T121" t="s">
        <v>138</v>
      </c>
      <c r="U121" t="s">
        <v>138</v>
      </c>
      <c r="V121" t="s">
        <v>138</v>
      </c>
      <c r="W121" t="s">
        <v>138</v>
      </c>
      <c r="X121" t="s">
        <v>138</v>
      </c>
      <c r="Y121" t="s">
        <v>138</v>
      </c>
      <c r="Z121" t="s">
        <v>138</v>
      </c>
      <c r="AA121" t="s">
        <v>138</v>
      </c>
      <c r="AB121" t="s">
        <v>138</v>
      </c>
      <c r="AC121" t="s">
        <v>138</v>
      </c>
      <c r="AD121" t="s">
        <v>138</v>
      </c>
      <c r="AE121" t="s">
        <v>138</v>
      </c>
      <c r="AF121" t="s">
        <v>138</v>
      </c>
      <c r="AG121" t="s">
        <v>138</v>
      </c>
      <c r="AH121" t="s">
        <v>138</v>
      </c>
      <c r="AI121" t="s">
        <v>138</v>
      </c>
      <c r="AJ121" t="s">
        <v>138</v>
      </c>
      <c r="AK121" t="s">
        <v>138</v>
      </c>
      <c r="AL121" t="s">
        <v>138</v>
      </c>
      <c r="AM121" t="s">
        <v>138</v>
      </c>
      <c r="AN121" t="s">
        <v>138</v>
      </c>
      <c r="AO121" t="s">
        <v>138</v>
      </c>
      <c r="AP121" t="s">
        <v>138</v>
      </c>
      <c r="AQ121" t="s">
        <v>138</v>
      </c>
      <c r="AR121" t="s">
        <v>138</v>
      </c>
      <c r="AS121" t="s">
        <v>138</v>
      </c>
      <c r="AT121" t="s">
        <v>138</v>
      </c>
      <c r="AU121" t="s">
        <v>138</v>
      </c>
      <c r="AV121" t="s">
        <v>138</v>
      </c>
      <c r="AW121" t="s">
        <v>138</v>
      </c>
      <c r="AX121" t="s">
        <v>138</v>
      </c>
      <c r="AY121" t="s">
        <v>138</v>
      </c>
      <c r="AZ121" t="s">
        <v>138</v>
      </c>
      <c r="BA121" t="s">
        <v>138</v>
      </c>
      <c r="BB121" t="s">
        <v>138</v>
      </c>
      <c r="BC121" t="s">
        <v>138</v>
      </c>
      <c r="BD121" t="s">
        <v>138</v>
      </c>
      <c r="BE121" t="s">
        <v>138</v>
      </c>
      <c r="BF121" t="s">
        <v>138</v>
      </c>
      <c r="BG121" t="s">
        <v>138</v>
      </c>
      <c r="BH121" t="s">
        <v>138</v>
      </c>
      <c r="BI121" t="s">
        <v>138</v>
      </c>
      <c r="BJ121" t="s">
        <v>138</v>
      </c>
      <c r="BK121" t="s">
        <v>138</v>
      </c>
      <c r="BL121" t="s">
        <v>138</v>
      </c>
      <c r="BM121" t="s">
        <v>138</v>
      </c>
      <c r="BN121" t="s">
        <v>138</v>
      </c>
    </row>
    <row r="122" spans="1:66" x14ac:dyDescent="0.25">
      <c r="A122">
        <f>YEAR([1]chla!A122)</f>
        <v>2024</v>
      </c>
      <c r="B122">
        <f>MONTH([1]chla!A122)</f>
        <v>2</v>
      </c>
      <c r="C122">
        <f>DAY([1]chla!A122)</f>
        <v>19</v>
      </c>
      <c r="D122">
        <v>-66.35942</v>
      </c>
      <c r="E122">
        <v>-55.987520000000004</v>
      </c>
      <c r="F122">
        <v>89.372443037974605</v>
      </c>
      <c r="G122">
        <v>0.62042563104563497</v>
      </c>
      <c r="H122">
        <v>0.54683606662965401</v>
      </c>
      <c r="I122">
        <v>6.4314995396209801E-2</v>
      </c>
      <c r="J122">
        <v>9.2745690197713494E-3</v>
      </c>
      <c r="K122" t="s">
        <v>43</v>
      </c>
      <c r="L122" t="s">
        <v>45</v>
      </c>
      <c r="M122" t="s">
        <v>138</v>
      </c>
      <c r="N122" t="s">
        <v>138</v>
      </c>
      <c r="O122" s="3" t="s">
        <v>138</v>
      </c>
      <c r="P122" t="s">
        <v>138</v>
      </c>
      <c r="Q122" t="s">
        <v>138</v>
      </c>
      <c r="R122" t="s">
        <v>138</v>
      </c>
      <c r="S122" t="s">
        <v>138</v>
      </c>
      <c r="T122" t="s">
        <v>138</v>
      </c>
      <c r="U122" t="s">
        <v>138</v>
      </c>
      <c r="V122" t="s">
        <v>138</v>
      </c>
      <c r="W122" t="s">
        <v>138</v>
      </c>
      <c r="X122" t="s">
        <v>138</v>
      </c>
      <c r="Y122" t="s">
        <v>138</v>
      </c>
      <c r="Z122" t="s">
        <v>138</v>
      </c>
      <c r="AA122" t="s">
        <v>138</v>
      </c>
      <c r="AB122" t="s">
        <v>138</v>
      </c>
      <c r="AC122" t="s">
        <v>138</v>
      </c>
      <c r="AD122" t="s">
        <v>138</v>
      </c>
      <c r="AE122" t="s">
        <v>138</v>
      </c>
      <c r="AF122" t="s">
        <v>138</v>
      </c>
      <c r="AG122" t="s">
        <v>138</v>
      </c>
      <c r="AH122" t="s">
        <v>138</v>
      </c>
      <c r="AI122" t="s">
        <v>138</v>
      </c>
      <c r="AJ122" t="s">
        <v>138</v>
      </c>
      <c r="AK122" t="s">
        <v>138</v>
      </c>
      <c r="AL122" t="s">
        <v>138</v>
      </c>
      <c r="AM122" t="s">
        <v>138</v>
      </c>
      <c r="AN122" t="s">
        <v>138</v>
      </c>
      <c r="AO122" t="s">
        <v>138</v>
      </c>
      <c r="AP122" t="s">
        <v>138</v>
      </c>
      <c r="AQ122" t="s">
        <v>138</v>
      </c>
      <c r="AR122" t="s">
        <v>138</v>
      </c>
      <c r="AS122" t="s">
        <v>138</v>
      </c>
      <c r="AT122" t="s">
        <v>138</v>
      </c>
      <c r="AU122" t="s">
        <v>138</v>
      </c>
      <c r="AV122" t="s">
        <v>138</v>
      </c>
      <c r="AW122" t="s">
        <v>138</v>
      </c>
      <c r="AX122" t="s">
        <v>138</v>
      </c>
      <c r="AY122" t="s">
        <v>138</v>
      </c>
      <c r="AZ122" t="s">
        <v>138</v>
      </c>
      <c r="BA122" t="s">
        <v>138</v>
      </c>
      <c r="BB122" t="s">
        <v>138</v>
      </c>
      <c r="BC122" t="s">
        <v>138</v>
      </c>
      <c r="BD122" t="s">
        <v>138</v>
      </c>
      <c r="BE122" t="s">
        <v>138</v>
      </c>
      <c r="BF122" t="s">
        <v>138</v>
      </c>
      <c r="BG122" t="s">
        <v>138</v>
      </c>
      <c r="BH122" t="s">
        <v>138</v>
      </c>
      <c r="BI122" t="s">
        <v>138</v>
      </c>
      <c r="BJ122" t="s">
        <v>138</v>
      </c>
      <c r="BK122" t="s">
        <v>138</v>
      </c>
      <c r="BL122" t="s">
        <v>138</v>
      </c>
      <c r="BM122" t="s">
        <v>138</v>
      </c>
      <c r="BN122" t="s">
        <v>138</v>
      </c>
    </row>
    <row r="123" spans="1:66" x14ac:dyDescent="0.25">
      <c r="A123">
        <f>YEAR([1]chla!A123)</f>
        <v>2024</v>
      </c>
      <c r="B123">
        <f>MONTH([1]chla!A123)</f>
        <v>2</v>
      </c>
      <c r="C123">
        <f>DAY([1]chla!A123)</f>
        <v>19</v>
      </c>
      <c r="D123">
        <v>-66.35942</v>
      </c>
      <c r="E123">
        <v>-55.987520000000004</v>
      </c>
      <c r="F123">
        <v>57.804499999999898</v>
      </c>
      <c r="G123">
        <v>0.64827942257552995</v>
      </c>
      <c r="H123">
        <v>0.47344883146106898</v>
      </c>
      <c r="I123">
        <v>0.13870296558982001</v>
      </c>
      <c r="J123">
        <v>3.61276255246398E-2</v>
      </c>
      <c r="K123" t="s">
        <v>43</v>
      </c>
      <c r="L123" t="s">
        <v>45</v>
      </c>
      <c r="M123" t="s">
        <v>138</v>
      </c>
      <c r="N123" t="s">
        <v>138</v>
      </c>
      <c r="O123" s="3" t="s">
        <v>138</v>
      </c>
      <c r="P123" t="s">
        <v>138</v>
      </c>
      <c r="Q123" t="s">
        <v>138</v>
      </c>
      <c r="R123" t="s">
        <v>138</v>
      </c>
      <c r="S123" t="s">
        <v>138</v>
      </c>
      <c r="T123" t="s">
        <v>138</v>
      </c>
      <c r="U123" t="s">
        <v>138</v>
      </c>
      <c r="V123" t="s">
        <v>138</v>
      </c>
      <c r="W123" t="s">
        <v>138</v>
      </c>
      <c r="X123" t="s">
        <v>138</v>
      </c>
      <c r="Y123" t="s">
        <v>138</v>
      </c>
      <c r="Z123" t="s">
        <v>138</v>
      </c>
      <c r="AA123" t="s">
        <v>138</v>
      </c>
      <c r="AB123" t="s">
        <v>138</v>
      </c>
      <c r="AC123" t="s">
        <v>138</v>
      </c>
      <c r="AD123" t="s">
        <v>138</v>
      </c>
      <c r="AE123" t="s">
        <v>138</v>
      </c>
      <c r="AF123" t="s">
        <v>138</v>
      </c>
      <c r="AG123" t="s">
        <v>138</v>
      </c>
      <c r="AH123" t="s">
        <v>138</v>
      </c>
      <c r="AI123" t="s">
        <v>138</v>
      </c>
      <c r="AJ123" t="s">
        <v>138</v>
      </c>
      <c r="AK123" t="s">
        <v>138</v>
      </c>
      <c r="AL123" t="s">
        <v>138</v>
      </c>
      <c r="AM123" t="s">
        <v>138</v>
      </c>
      <c r="AN123" t="s">
        <v>138</v>
      </c>
      <c r="AO123" t="s">
        <v>138</v>
      </c>
      <c r="AP123" t="s">
        <v>138</v>
      </c>
      <c r="AQ123" t="s">
        <v>138</v>
      </c>
      <c r="AR123" t="s">
        <v>138</v>
      </c>
      <c r="AS123" t="s">
        <v>138</v>
      </c>
      <c r="AT123" t="s">
        <v>138</v>
      </c>
      <c r="AU123" t="s">
        <v>138</v>
      </c>
      <c r="AV123" t="s">
        <v>138</v>
      </c>
      <c r="AW123" t="s">
        <v>138</v>
      </c>
      <c r="AX123" t="s">
        <v>138</v>
      </c>
      <c r="AY123" t="s">
        <v>138</v>
      </c>
      <c r="AZ123" t="s">
        <v>138</v>
      </c>
      <c r="BA123" t="s">
        <v>138</v>
      </c>
      <c r="BB123" t="s">
        <v>138</v>
      </c>
      <c r="BC123" t="s">
        <v>138</v>
      </c>
      <c r="BD123" t="s">
        <v>138</v>
      </c>
      <c r="BE123" t="s">
        <v>138</v>
      </c>
      <c r="BF123" t="s">
        <v>138</v>
      </c>
      <c r="BG123" t="s">
        <v>138</v>
      </c>
      <c r="BH123" t="s">
        <v>138</v>
      </c>
      <c r="BI123" t="s">
        <v>138</v>
      </c>
      <c r="BJ123" t="s">
        <v>138</v>
      </c>
      <c r="BK123" t="s">
        <v>138</v>
      </c>
      <c r="BL123" t="s">
        <v>138</v>
      </c>
      <c r="BM123" t="s">
        <v>138</v>
      </c>
      <c r="BN123" t="s">
        <v>138</v>
      </c>
    </row>
    <row r="124" spans="1:66" x14ac:dyDescent="0.25">
      <c r="A124">
        <f>YEAR([1]chla!A124)</f>
        <v>2024</v>
      </c>
      <c r="B124">
        <f>MONTH([1]chla!A124)</f>
        <v>2</v>
      </c>
      <c r="C124">
        <f>DAY([1]chla!A124)</f>
        <v>19</v>
      </c>
      <c r="D124">
        <v>-66.35942</v>
      </c>
      <c r="E124">
        <v>-55.987520000000004</v>
      </c>
      <c r="F124">
        <v>39.661999999999999</v>
      </c>
      <c r="G124">
        <v>0.35339616853448902</v>
      </c>
      <c r="H124">
        <v>0.18340246337432201</v>
      </c>
      <c r="I124">
        <v>0.140204068127359</v>
      </c>
      <c r="J124">
        <v>2.9789637032807501E-2</v>
      </c>
      <c r="K124" t="s">
        <v>43</v>
      </c>
      <c r="L124" t="s">
        <v>45</v>
      </c>
      <c r="M124" t="s">
        <v>138</v>
      </c>
      <c r="N124" t="s">
        <v>138</v>
      </c>
      <c r="O124" s="3" t="s">
        <v>138</v>
      </c>
      <c r="P124" t="s">
        <v>138</v>
      </c>
      <c r="Q124" t="s">
        <v>138</v>
      </c>
      <c r="R124" t="s">
        <v>138</v>
      </c>
      <c r="S124" t="s">
        <v>138</v>
      </c>
      <c r="T124" t="s">
        <v>138</v>
      </c>
      <c r="U124" t="s">
        <v>138</v>
      </c>
      <c r="V124" t="s">
        <v>138</v>
      </c>
      <c r="W124" t="s">
        <v>138</v>
      </c>
      <c r="X124" t="s">
        <v>138</v>
      </c>
      <c r="Y124" t="s">
        <v>138</v>
      </c>
      <c r="Z124" t="s">
        <v>138</v>
      </c>
      <c r="AA124" t="s">
        <v>138</v>
      </c>
      <c r="AB124" t="s">
        <v>138</v>
      </c>
      <c r="AC124" t="s">
        <v>138</v>
      </c>
      <c r="AD124" t="s">
        <v>138</v>
      </c>
      <c r="AE124" t="s">
        <v>138</v>
      </c>
      <c r="AF124" t="s">
        <v>138</v>
      </c>
      <c r="AG124" t="s">
        <v>138</v>
      </c>
      <c r="AH124" t="s">
        <v>138</v>
      </c>
      <c r="AI124" t="s">
        <v>138</v>
      </c>
      <c r="AJ124" t="s">
        <v>138</v>
      </c>
      <c r="AK124" t="s">
        <v>138</v>
      </c>
      <c r="AL124" t="s">
        <v>138</v>
      </c>
      <c r="AM124" t="s">
        <v>138</v>
      </c>
      <c r="AN124" t="s">
        <v>138</v>
      </c>
      <c r="AO124" t="s">
        <v>138</v>
      </c>
      <c r="AP124" t="s">
        <v>138</v>
      </c>
      <c r="AQ124" t="s">
        <v>138</v>
      </c>
      <c r="AR124" t="s">
        <v>138</v>
      </c>
      <c r="AS124" t="s">
        <v>138</v>
      </c>
      <c r="AT124" t="s">
        <v>138</v>
      </c>
      <c r="AU124" t="s">
        <v>138</v>
      </c>
      <c r="AV124" t="s">
        <v>138</v>
      </c>
      <c r="AW124" t="s">
        <v>138</v>
      </c>
      <c r="AX124" t="s">
        <v>138</v>
      </c>
      <c r="AY124" t="s">
        <v>138</v>
      </c>
      <c r="AZ124" t="s">
        <v>138</v>
      </c>
      <c r="BA124" t="s">
        <v>138</v>
      </c>
      <c r="BB124" t="s">
        <v>138</v>
      </c>
      <c r="BC124" t="s">
        <v>138</v>
      </c>
      <c r="BD124" t="s">
        <v>138</v>
      </c>
      <c r="BE124" t="s">
        <v>138</v>
      </c>
      <c r="BF124" t="s">
        <v>138</v>
      </c>
      <c r="BG124" t="s">
        <v>138</v>
      </c>
      <c r="BH124" t="s">
        <v>138</v>
      </c>
      <c r="BI124" t="s">
        <v>138</v>
      </c>
      <c r="BJ124" t="s">
        <v>138</v>
      </c>
      <c r="BK124" t="s">
        <v>138</v>
      </c>
      <c r="BL124" t="s">
        <v>138</v>
      </c>
      <c r="BM124" t="s">
        <v>138</v>
      </c>
      <c r="BN124" t="s">
        <v>138</v>
      </c>
    </row>
    <row r="125" spans="1:66" x14ac:dyDescent="0.25">
      <c r="A125">
        <f>YEAR([1]chla!A125)</f>
        <v>2024</v>
      </c>
      <c r="B125">
        <f>MONTH([1]chla!A125)</f>
        <v>2</v>
      </c>
      <c r="C125">
        <f>DAY([1]chla!A125)</f>
        <v>19</v>
      </c>
      <c r="D125">
        <v>-66.35942</v>
      </c>
      <c r="E125">
        <v>-55.987520000000004</v>
      </c>
      <c r="F125">
        <v>25.497162162162098</v>
      </c>
      <c r="G125">
        <v>0.469981798950036</v>
      </c>
      <c r="H125">
        <v>0.20258321802065599</v>
      </c>
      <c r="I125">
        <v>0.23460673882149299</v>
      </c>
      <c r="J125">
        <v>3.2791842107885903E-2</v>
      </c>
      <c r="K125" t="s">
        <v>43</v>
      </c>
      <c r="L125" t="s">
        <v>45</v>
      </c>
      <c r="M125" t="s">
        <v>138</v>
      </c>
      <c r="N125" t="s">
        <v>138</v>
      </c>
      <c r="O125" s="3" t="s">
        <v>138</v>
      </c>
      <c r="P125" t="s">
        <v>138</v>
      </c>
      <c r="Q125" t="s">
        <v>138</v>
      </c>
      <c r="R125" t="s">
        <v>138</v>
      </c>
      <c r="S125" t="s">
        <v>138</v>
      </c>
      <c r="T125" t="s">
        <v>138</v>
      </c>
      <c r="U125" t="s">
        <v>138</v>
      </c>
      <c r="V125" t="s">
        <v>138</v>
      </c>
      <c r="W125" t="s">
        <v>138</v>
      </c>
      <c r="X125" t="s">
        <v>138</v>
      </c>
      <c r="Y125" t="s">
        <v>138</v>
      </c>
      <c r="Z125" t="s">
        <v>138</v>
      </c>
      <c r="AA125" t="s">
        <v>138</v>
      </c>
      <c r="AB125" t="s">
        <v>138</v>
      </c>
      <c r="AC125" t="s">
        <v>138</v>
      </c>
      <c r="AD125" t="s">
        <v>138</v>
      </c>
      <c r="AE125" t="s">
        <v>138</v>
      </c>
      <c r="AF125" t="s">
        <v>138</v>
      </c>
      <c r="AG125" t="s">
        <v>138</v>
      </c>
      <c r="AH125" t="s">
        <v>138</v>
      </c>
      <c r="AI125" t="s">
        <v>138</v>
      </c>
      <c r="AJ125" t="s">
        <v>138</v>
      </c>
      <c r="AK125" t="s">
        <v>138</v>
      </c>
      <c r="AL125" t="s">
        <v>138</v>
      </c>
      <c r="AM125" t="s">
        <v>138</v>
      </c>
      <c r="AN125" t="s">
        <v>138</v>
      </c>
      <c r="AO125" t="s">
        <v>138</v>
      </c>
      <c r="AP125" t="s">
        <v>138</v>
      </c>
      <c r="AQ125" t="s">
        <v>138</v>
      </c>
      <c r="AR125" t="s">
        <v>138</v>
      </c>
      <c r="AS125" t="s">
        <v>138</v>
      </c>
      <c r="AT125" t="s">
        <v>138</v>
      </c>
      <c r="AU125" t="s">
        <v>138</v>
      </c>
      <c r="AV125" t="s">
        <v>138</v>
      </c>
      <c r="AW125" t="s">
        <v>138</v>
      </c>
      <c r="AX125" t="s">
        <v>138</v>
      </c>
      <c r="AY125" t="s">
        <v>138</v>
      </c>
      <c r="AZ125" t="s">
        <v>138</v>
      </c>
      <c r="BA125" t="s">
        <v>138</v>
      </c>
      <c r="BB125" t="s">
        <v>138</v>
      </c>
      <c r="BC125" t="s">
        <v>138</v>
      </c>
      <c r="BD125" t="s">
        <v>138</v>
      </c>
      <c r="BE125" t="s">
        <v>138</v>
      </c>
      <c r="BF125" t="s">
        <v>138</v>
      </c>
      <c r="BG125" t="s">
        <v>138</v>
      </c>
      <c r="BH125" t="s">
        <v>138</v>
      </c>
      <c r="BI125" t="s">
        <v>138</v>
      </c>
      <c r="BJ125" t="s">
        <v>138</v>
      </c>
      <c r="BK125" t="s">
        <v>138</v>
      </c>
      <c r="BL125" t="s">
        <v>138</v>
      </c>
      <c r="BM125" t="s">
        <v>138</v>
      </c>
      <c r="BN125" t="s">
        <v>138</v>
      </c>
    </row>
    <row r="126" spans="1:66" x14ac:dyDescent="0.25">
      <c r="A126">
        <f>YEAR([1]chla!A126)</f>
        <v>2024</v>
      </c>
      <c r="B126">
        <f>MONTH([1]chla!A126)</f>
        <v>2</v>
      </c>
      <c r="C126">
        <f>DAY([1]chla!A126)</f>
        <v>19</v>
      </c>
      <c r="D126">
        <v>-66.35942</v>
      </c>
      <c r="E126">
        <v>-55.987520000000004</v>
      </c>
      <c r="F126">
        <v>13.4483047619047</v>
      </c>
      <c r="G126">
        <v>0.38742115938537902</v>
      </c>
      <c r="H126">
        <v>0.11401816830584199</v>
      </c>
      <c r="I126">
        <v>0.24728271580515801</v>
      </c>
      <c r="J126">
        <v>2.6120275274378199E-2</v>
      </c>
      <c r="K126" t="s">
        <v>43</v>
      </c>
      <c r="L126" t="s">
        <v>45</v>
      </c>
      <c r="M126" t="s">
        <v>138</v>
      </c>
      <c r="N126" t="s">
        <v>138</v>
      </c>
      <c r="O126" s="3" t="s">
        <v>138</v>
      </c>
      <c r="P126" t="s">
        <v>138</v>
      </c>
      <c r="Q126" t="s">
        <v>138</v>
      </c>
      <c r="R126" t="s">
        <v>138</v>
      </c>
      <c r="S126" t="s">
        <v>138</v>
      </c>
      <c r="T126" t="s">
        <v>138</v>
      </c>
      <c r="U126" t="s">
        <v>138</v>
      </c>
      <c r="V126" t="s">
        <v>138</v>
      </c>
      <c r="W126" t="s">
        <v>138</v>
      </c>
      <c r="X126" t="s">
        <v>138</v>
      </c>
      <c r="Y126" t="s">
        <v>138</v>
      </c>
      <c r="Z126" t="s">
        <v>138</v>
      </c>
      <c r="AA126" t="s">
        <v>138</v>
      </c>
      <c r="AB126" t="s">
        <v>138</v>
      </c>
      <c r="AC126" t="s">
        <v>138</v>
      </c>
      <c r="AD126" t="s">
        <v>138</v>
      </c>
      <c r="AE126" t="s">
        <v>138</v>
      </c>
      <c r="AF126" t="s">
        <v>138</v>
      </c>
      <c r="AG126" t="s">
        <v>138</v>
      </c>
      <c r="AH126" t="s">
        <v>138</v>
      </c>
      <c r="AI126" t="s">
        <v>138</v>
      </c>
      <c r="AJ126" t="s">
        <v>138</v>
      </c>
      <c r="AK126" t="s">
        <v>138</v>
      </c>
      <c r="AL126" t="s">
        <v>138</v>
      </c>
      <c r="AM126" t="s">
        <v>138</v>
      </c>
      <c r="AN126" t="s">
        <v>138</v>
      </c>
      <c r="AO126" t="s">
        <v>138</v>
      </c>
      <c r="AP126" t="s">
        <v>138</v>
      </c>
      <c r="AQ126" t="s">
        <v>138</v>
      </c>
      <c r="AR126" t="s">
        <v>138</v>
      </c>
      <c r="AS126" t="s">
        <v>138</v>
      </c>
      <c r="AT126" t="s">
        <v>138</v>
      </c>
      <c r="AU126" t="s">
        <v>138</v>
      </c>
      <c r="AV126" t="s">
        <v>138</v>
      </c>
      <c r="AW126" t="s">
        <v>138</v>
      </c>
      <c r="AX126" t="s">
        <v>138</v>
      </c>
      <c r="AY126" t="s">
        <v>138</v>
      </c>
      <c r="AZ126" t="s">
        <v>138</v>
      </c>
      <c r="BA126" t="s">
        <v>138</v>
      </c>
      <c r="BB126" t="s">
        <v>138</v>
      </c>
      <c r="BC126" t="s">
        <v>138</v>
      </c>
      <c r="BD126" t="s">
        <v>138</v>
      </c>
      <c r="BE126" t="s">
        <v>138</v>
      </c>
      <c r="BF126" t="s">
        <v>138</v>
      </c>
      <c r="BG126" t="s">
        <v>138</v>
      </c>
      <c r="BH126" t="s">
        <v>138</v>
      </c>
      <c r="BI126" t="s">
        <v>138</v>
      </c>
      <c r="BJ126" t="s">
        <v>138</v>
      </c>
      <c r="BK126" t="s">
        <v>138</v>
      </c>
      <c r="BL126" t="s">
        <v>138</v>
      </c>
      <c r="BM126" t="s">
        <v>138</v>
      </c>
      <c r="BN126" t="s">
        <v>138</v>
      </c>
    </row>
    <row r="127" spans="1:66" x14ac:dyDescent="0.25">
      <c r="A127">
        <f>YEAR([1]chla!A127)</f>
        <v>2024</v>
      </c>
      <c r="B127">
        <f>MONTH([1]chla!A127)</f>
        <v>2</v>
      </c>
      <c r="C127">
        <f>DAY([1]chla!A127)</f>
        <v>19</v>
      </c>
      <c r="D127">
        <v>-66.35942</v>
      </c>
      <c r="E127">
        <v>-55.987520000000004</v>
      </c>
      <c r="F127">
        <v>1.5688834951456301</v>
      </c>
      <c r="G127">
        <v>0.36990829644742101</v>
      </c>
      <c r="H127">
        <v>0.11051559571825</v>
      </c>
      <c r="I127">
        <v>0.23160453374641499</v>
      </c>
      <c r="J127">
        <v>2.77881669827552E-2</v>
      </c>
      <c r="K127" t="s">
        <v>43</v>
      </c>
      <c r="L127" t="s">
        <v>45</v>
      </c>
      <c r="M127" t="s">
        <v>196</v>
      </c>
      <c r="N127" t="s">
        <v>132</v>
      </c>
      <c r="O127" s="3">
        <v>45341</v>
      </c>
      <c r="P127" t="s">
        <v>133</v>
      </c>
      <c r="Q127">
        <v>-66.345165216666601</v>
      </c>
      <c r="R127">
        <v>-56.000077283333297</v>
      </c>
      <c r="S127" t="s">
        <v>134</v>
      </c>
      <c r="T127">
        <v>7</v>
      </c>
      <c r="U127">
        <v>1500</v>
      </c>
      <c r="V127" t="s">
        <v>111</v>
      </c>
      <c r="W127">
        <v>0.12826126477890681</v>
      </c>
      <c r="X127">
        <v>1.7732455146224471E-2</v>
      </c>
      <c r="Y127">
        <v>2.0184572175724769E-2</v>
      </c>
      <c r="Z127">
        <v>7.0902961690976121E-3</v>
      </c>
      <c r="AA127">
        <v>3.4825206808803619E-3</v>
      </c>
      <c r="AB127">
        <v>4.9727243361749718E-2</v>
      </c>
      <c r="AC127">
        <v>4.523773403836669E-3</v>
      </c>
      <c r="AD127">
        <v>3.6915610774568647E-2</v>
      </c>
      <c r="AE127">
        <v>0.34467994722321682</v>
      </c>
      <c r="AF127">
        <v>0.38159555799778538</v>
      </c>
      <c r="AG127">
        <v>0.29017162874798458</v>
      </c>
      <c r="AH127">
        <v>0.70941168846392533</v>
      </c>
      <c r="AI127">
        <v>0.10409536887259389</v>
      </c>
      <c r="AJ127">
        <v>0.18649294266348079</v>
      </c>
      <c r="AK127">
        <v>0.27070834910954272</v>
      </c>
      <c r="AL127">
        <v>3.972233036992278E-2</v>
      </c>
      <c r="AM127">
        <v>7.1164878518319971E-2</v>
      </c>
      <c r="AN127">
        <v>0.43982553123803331</v>
      </c>
      <c r="AO127">
        <v>6.8772587777502031E-2</v>
      </c>
      <c r="AP127">
        <v>0.53590255109132023</v>
      </c>
      <c r="AQ127">
        <v>0.39532486113117782</v>
      </c>
      <c r="AR127">
        <v>2.624331400790756E-2</v>
      </c>
      <c r="AS127">
        <v>0.20449803301612901</v>
      </c>
      <c r="AT127">
        <v>0.15085421097374879</v>
      </c>
      <c r="AU127">
        <v>0.37840491885071559</v>
      </c>
      <c r="AV127">
        <v>9.5791447703942004E-4</v>
      </c>
      <c r="AW127">
        <v>0.24634779539079019</v>
      </c>
      <c r="AX127">
        <v>9.705090539213794E-2</v>
      </c>
      <c r="AY127">
        <v>0.65660129921707178</v>
      </c>
      <c r="AZ127">
        <v>9.4005224443672833E-2</v>
      </c>
      <c r="BA127">
        <v>3.7034194397303162E-2</v>
      </c>
      <c r="BB127">
        <v>0.25055613915680941</v>
      </c>
      <c r="BC127">
        <v>0.28587411219183079</v>
      </c>
      <c r="BD127">
        <v>6.8244652982936017E-3</v>
      </c>
      <c r="BE127">
        <v>0.24844360227071099</v>
      </c>
      <c r="BF127">
        <v>0.14288157868481799</v>
      </c>
      <c r="BG127">
        <v>0.60867481904447107</v>
      </c>
      <c r="BH127">
        <v>9.4804975039471814E-2</v>
      </c>
      <c r="BI127">
        <v>5.4522975745837608E-2</v>
      </c>
      <c r="BJ127">
        <v>0.232267607212476</v>
      </c>
      <c r="BK127">
        <v>3.5367555703931539</v>
      </c>
      <c r="BL127">
        <v>0.17409864747251169</v>
      </c>
      <c r="BM127">
        <v>0.29315618715701752</v>
      </c>
      <c r="BN127">
        <v>0.30584132857865309</v>
      </c>
    </row>
    <row r="128" spans="1:66" x14ac:dyDescent="0.25">
      <c r="A128">
        <f>YEAR([1]chla!A128)</f>
        <v>2024</v>
      </c>
      <c r="B128">
        <f>MONTH([1]chla!A128)</f>
        <v>3</v>
      </c>
      <c r="C128">
        <f>DAY([1]chla!A128)</f>
        <v>1</v>
      </c>
      <c r="D128">
        <v>-64.662880000000001</v>
      </c>
      <c r="E128">
        <v>-56.424370000000003</v>
      </c>
      <c r="F128">
        <v>201.949552631578</v>
      </c>
      <c r="G128">
        <v>0.15523790190858799</v>
      </c>
      <c r="H128">
        <v>9.9671592624311495E-2</v>
      </c>
      <c r="I128">
        <v>4.61618729497979E-2</v>
      </c>
      <c r="J128">
        <v>9.4044363344785806E-3</v>
      </c>
      <c r="K128" t="s">
        <v>46</v>
      </c>
      <c r="L128" t="s">
        <v>47</v>
      </c>
      <c r="M128" t="s">
        <v>138</v>
      </c>
      <c r="N128" t="s">
        <v>138</v>
      </c>
      <c r="O128" s="3" t="s">
        <v>138</v>
      </c>
      <c r="P128" t="s">
        <v>138</v>
      </c>
      <c r="Q128" t="s">
        <v>138</v>
      </c>
      <c r="R128" t="s">
        <v>138</v>
      </c>
      <c r="S128" t="s">
        <v>138</v>
      </c>
      <c r="T128" t="s">
        <v>138</v>
      </c>
      <c r="U128" t="s">
        <v>138</v>
      </c>
      <c r="V128" t="s">
        <v>138</v>
      </c>
      <c r="W128" t="s">
        <v>138</v>
      </c>
      <c r="X128" t="s">
        <v>138</v>
      </c>
      <c r="Y128" t="s">
        <v>138</v>
      </c>
      <c r="Z128" t="s">
        <v>138</v>
      </c>
      <c r="AA128" t="s">
        <v>138</v>
      </c>
      <c r="AB128" t="s">
        <v>138</v>
      </c>
      <c r="AC128" t="s">
        <v>138</v>
      </c>
      <c r="AD128" t="s">
        <v>138</v>
      </c>
      <c r="AE128" t="s">
        <v>138</v>
      </c>
      <c r="AF128" t="s">
        <v>138</v>
      </c>
      <c r="AG128" t="s">
        <v>138</v>
      </c>
      <c r="AH128" t="s">
        <v>138</v>
      </c>
      <c r="AI128" t="s">
        <v>138</v>
      </c>
      <c r="AJ128" t="s">
        <v>138</v>
      </c>
      <c r="AK128" t="s">
        <v>138</v>
      </c>
      <c r="AL128" t="s">
        <v>138</v>
      </c>
      <c r="AM128" t="s">
        <v>138</v>
      </c>
      <c r="AN128" t="s">
        <v>138</v>
      </c>
      <c r="AO128" t="s">
        <v>138</v>
      </c>
      <c r="AP128" t="s">
        <v>138</v>
      </c>
      <c r="AQ128" t="s">
        <v>138</v>
      </c>
      <c r="AR128" t="s">
        <v>138</v>
      </c>
      <c r="AS128" t="s">
        <v>138</v>
      </c>
      <c r="AT128" t="s">
        <v>138</v>
      </c>
      <c r="AU128" t="s">
        <v>138</v>
      </c>
      <c r="AV128" t="s">
        <v>138</v>
      </c>
      <c r="AW128" t="s">
        <v>138</v>
      </c>
      <c r="AX128" t="s">
        <v>138</v>
      </c>
      <c r="AY128" t="s">
        <v>138</v>
      </c>
      <c r="AZ128" t="s">
        <v>138</v>
      </c>
      <c r="BA128" t="s">
        <v>138</v>
      </c>
      <c r="BB128" t="s">
        <v>138</v>
      </c>
      <c r="BC128" t="s">
        <v>138</v>
      </c>
      <c r="BD128" t="s">
        <v>138</v>
      </c>
      <c r="BE128" t="s">
        <v>138</v>
      </c>
      <c r="BF128" t="s">
        <v>138</v>
      </c>
      <c r="BG128" t="s">
        <v>138</v>
      </c>
      <c r="BH128" t="s">
        <v>138</v>
      </c>
      <c r="BI128" t="s">
        <v>138</v>
      </c>
      <c r="BJ128" t="s">
        <v>138</v>
      </c>
      <c r="BK128" t="s">
        <v>138</v>
      </c>
      <c r="BL128" t="s">
        <v>138</v>
      </c>
      <c r="BM128" t="s">
        <v>138</v>
      </c>
      <c r="BN128" t="s">
        <v>138</v>
      </c>
    </row>
    <row r="129" spans="1:66" x14ac:dyDescent="0.25">
      <c r="A129">
        <f>YEAR([1]chla!A129)</f>
        <v>2024</v>
      </c>
      <c r="B129">
        <f>MONTH([1]chla!A129)</f>
        <v>3</v>
      </c>
      <c r="C129">
        <f>DAY([1]chla!A129)</f>
        <v>1</v>
      </c>
      <c r="D129">
        <v>-64.662880000000001</v>
      </c>
      <c r="E129">
        <v>-56.424370000000003</v>
      </c>
      <c r="F129">
        <v>88.324243243243203</v>
      </c>
      <c r="G129">
        <v>0.28925616638214102</v>
      </c>
      <c r="H129">
        <v>7.9178508493646702E-2</v>
      </c>
      <c r="I129">
        <v>0.18701116546690599</v>
      </c>
      <c r="J129">
        <v>2.3066492421588401E-2</v>
      </c>
      <c r="K129" t="s">
        <v>46</v>
      </c>
      <c r="L129" t="s">
        <v>47</v>
      </c>
      <c r="M129" t="s">
        <v>138</v>
      </c>
      <c r="N129" t="s">
        <v>138</v>
      </c>
      <c r="O129" s="3" t="s">
        <v>138</v>
      </c>
      <c r="P129" t="s">
        <v>138</v>
      </c>
      <c r="Q129" t="s">
        <v>138</v>
      </c>
      <c r="R129" t="s">
        <v>138</v>
      </c>
      <c r="S129" t="s">
        <v>138</v>
      </c>
      <c r="T129" t="s">
        <v>138</v>
      </c>
      <c r="U129" t="s">
        <v>138</v>
      </c>
      <c r="V129" t="s">
        <v>138</v>
      </c>
      <c r="W129" t="s">
        <v>138</v>
      </c>
      <c r="X129" t="s">
        <v>138</v>
      </c>
      <c r="Y129" t="s">
        <v>138</v>
      </c>
      <c r="Z129" t="s">
        <v>138</v>
      </c>
      <c r="AA129" t="s">
        <v>138</v>
      </c>
      <c r="AB129" t="s">
        <v>138</v>
      </c>
      <c r="AC129" t="s">
        <v>138</v>
      </c>
      <c r="AD129" t="s">
        <v>138</v>
      </c>
      <c r="AE129" t="s">
        <v>138</v>
      </c>
      <c r="AF129" t="s">
        <v>138</v>
      </c>
      <c r="AG129" t="s">
        <v>138</v>
      </c>
      <c r="AH129" t="s">
        <v>138</v>
      </c>
      <c r="AI129" t="s">
        <v>138</v>
      </c>
      <c r="AJ129" t="s">
        <v>138</v>
      </c>
      <c r="AK129" t="s">
        <v>138</v>
      </c>
      <c r="AL129" t="s">
        <v>138</v>
      </c>
      <c r="AM129" t="s">
        <v>138</v>
      </c>
      <c r="AN129" t="s">
        <v>138</v>
      </c>
      <c r="AO129" t="s">
        <v>138</v>
      </c>
      <c r="AP129" t="s">
        <v>138</v>
      </c>
      <c r="AQ129" t="s">
        <v>138</v>
      </c>
      <c r="AR129" t="s">
        <v>138</v>
      </c>
      <c r="AS129" t="s">
        <v>138</v>
      </c>
      <c r="AT129" t="s">
        <v>138</v>
      </c>
      <c r="AU129" t="s">
        <v>138</v>
      </c>
      <c r="AV129" t="s">
        <v>138</v>
      </c>
      <c r="AW129" t="s">
        <v>138</v>
      </c>
      <c r="AX129" t="s">
        <v>138</v>
      </c>
      <c r="AY129" t="s">
        <v>138</v>
      </c>
      <c r="AZ129" t="s">
        <v>138</v>
      </c>
      <c r="BA129" t="s">
        <v>138</v>
      </c>
      <c r="BB129" t="s">
        <v>138</v>
      </c>
      <c r="BC129" t="s">
        <v>138</v>
      </c>
      <c r="BD129" t="s">
        <v>138</v>
      </c>
      <c r="BE129" t="s">
        <v>138</v>
      </c>
      <c r="BF129" t="s">
        <v>138</v>
      </c>
      <c r="BG129" t="s">
        <v>138</v>
      </c>
      <c r="BH129" t="s">
        <v>138</v>
      </c>
      <c r="BI129" t="s">
        <v>138</v>
      </c>
      <c r="BJ129" t="s">
        <v>138</v>
      </c>
      <c r="BK129" t="s">
        <v>138</v>
      </c>
      <c r="BL129" t="s">
        <v>138</v>
      </c>
      <c r="BM129" t="s">
        <v>138</v>
      </c>
      <c r="BN129" t="s">
        <v>138</v>
      </c>
    </row>
    <row r="130" spans="1:66" x14ac:dyDescent="0.25">
      <c r="A130">
        <f>YEAR([1]chla!A130)</f>
        <v>2024</v>
      </c>
      <c r="B130">
        <f>MONTH([1]chla!A130)</f>
        <v>3</v>
      </c>
      <c r="C130">
        <f>DAY([1]chla!A130)</f>
        <v>1</v>
      </c>
      <c r="D130">
        <v>-64.662880000000001</v>
      </c>
      <c r="E130">
        <v>-56.424370000000003</v>
      </c>
      <c r="F130">
        <v>58.974351351351302</v>
      </c>
      <c r="G130">
        <v>0.17719477776287099</v>
      </c>
      <c r="H130">
        <v>5.9986572561754298E-2</v>
      </c>
      <c r="I130">
        <v>9.7231939751613303E-2</v>
      </c>
      <c r="J130">
        <v>1.9976265449504E-2</v>
      </c>
      <c r="K130" t="s">
        <v>46</v>
      </c>
      <c r="L130" t="s">
        <v>48</v>
      </c>
      <c r="M130" t="s">
        <v>195</v>
      </c>
      <c r="N130" t="s">
        <v>46</v>
      </c>
      <c r="O130" s="3">
        <v>45351</v>
      </c>
      <c r="P130" t="s">
        <v>135</v>
      </c>
      <c r="Q130">
        <v>-64.698362766666605</v>
      </c>
      <c r="R130">
        <v>-56.547502199999897</v>
      </c>
      <c r="S130" t="s">
        <v>136</v>
      </c>
      <c r="T130">
        <v>60</v>
      </c>
      <c r="U130">
        <v>1520</v>
      </c>
      <c r="V130" s="4" t="s">
        <v>103</v>
      </c>
      <c r="W130">
        <v>6.2347634993878437E-2</v>
      </c>
      <c r="X130">
        <v>0</v>
      </c>
      <c r="Y130">
        <v>1.6046948718641391E-2</v>
      </c>
      <c r="Z130">
        <v>8.9306536716349666E-3</v>
      </c>
      <c r="AA130">
        <v>3.798872668004034E-3</v>
      </c>
      <c r="AB130">
        <v>3.2963574340510089E-3</v>
      </c>
      <c r="AC130">
        <v>1.072293172245977E-3</v>
      </c>
      <c r="AD130">
        <v>9.1735565854328717E-3</v>
      </c>
      <c r="AE130">
        <v>0.1560855308013103</v>
      </c>
      <c r="AF130">
        <v>0.16525908738674319</v>
      </c>
      <c r="AG130">
        <v>0.11794633573644089</v>
      </c>
      <c r="AH130">
        <v>0.74534036850292518</v>
      </c>
      <c r="AI130">
        <v>0.21861363557886901</v>
      </c>
      <c r="AJ130">
        <v>3.6045995918205627E-2</v>
      </c>
      <c r="AK130">
        <v>0.1231742690912923</v>
      </c>
      <c r="AL130">
        <v>3.6127889906061951E-2</v>
      </c>
      <c r="AM130">
        <v>5.9569283893889319E-3</v>
      </c>
      <c r="AN130">
        <v>0.19206913452253199</v>
      </c>
      <c r="AO130">
        <v>1.6552235858827719E-2</v>
      </c>
      <c r="AP130">
        <v>0.55820816463436418</v>
      </c>
      <c r="AQ130">
        <v>0.42523959950680812</v>
      </c>
      <c r="AR130">
        <v>2.735407392239994E-3</v>
      </c>
      <c r="AS130">
        <v>9.2248971859303919E-2</v>
      </c>
      <c r="AT130">
        <v>7.0274708135199274E-2</v>
      </c>
      <c r="AU130">
        <v>0.14696367784729669</v>
      </c>
      <c r="AV130">
        <v>1.165993774399307E-3</v>
      </c>
      <c r="AW130">
        <v>4.7513108232103571E-2</v>
      </c>
      <c r="AX130">
        <v>0.22811705235419241</v>
      </c>
      <c r="AY130">
        <v>0.72436983941370403</v>
      </c>
      <c r="AZ130">
        <v>7.8519729053449921E-3</v>
      </c>
      <c r="BA130">
        <v>3.7698415889407748E-2</v>
      </c>
      <c r="BB130">
        <v>0.1197086985919904</v>
      </c>
      <c r="BC130">
        <v>0.1165333548271299</v>
      </c>
      <c r="BD130">
        <v>7.9310238090180944E-3</v>
      </c>
      <c r="BE130">
        <v>4.9017805854815598E-2</v>
      </c>
      <c r="BF130">
        <v>0.34393200971293098</v>
      </c>
      <c r="BG130">
        <v>0.60705018443225356</v>
      </c>
      <c r="BH130">
        <v>8.1006378612673846E-3</v>
      </c>
      <c r="BI130">
        <v>5.6837890048247471E-2</v>
      </c>
      <c r="BJ130">
        <v>0.1003205594772284</v>
      </c>
      <c r="BK130" t="s">
        <v>138</v>
      </c>
      <c r="BL130" t="s">
        <v>138</v>
      </c>
      <c r="BM130" t="s">
        <v>138</v>
      </c>
      <c r="BN130" t="s">
        <v>138</v>
      </c>
    </row>
    <row r="131" spans="1:66" x14ac:dyDescent="0.25">
      <c r="A131">
        <f>YEAR([1]chla!A131)</f>
        <v>2024</v>
      </c>
      <c r="B131">
        <f>MONTH([1]chla!A131)</f>
        <v>3</v>
      </c>
      <c r="C131">
        <f>DAY([1]chla!A131)</f>
        <v>1</v>
      </c>
      <c r="D131">
        <v>-64.662880000000001</v>
      </c>
      <c r="E131">
        <v>-56.424370000000003</v>
      </c>
      <c r="F131">
        <v>38.740486486486397</v>
      </c>
      <c r="G131">
        <v>0.295761907376003</v>
      </c>
      <c r="H131">
        <v>0.110243421739336</v>
      </c>
      <c r="I131">
        <v>0.15269338172428501</v>
      </c>
      <c r="J131">
        <v>3.2825103912381103E-2</v>
      </c>
      <c r="K131" t="s">
        <v>46</v>
      </c>
      <c r="L131" t="s">
        <v>48</v>
      </c>
      <c r="M131" t="s">
        <v>138</v>
      </c>
      <c r="N131" t="s">
        <v>138</v>
      </c>
      <c r="O131" s="3" t="s">
        <v>138</v>
      </c>
      <c r="P131" t="s">
        <v>138</v>
      </c>
      <c r="Q131" t="s">
        <v>138</v>
      </c>
      <c r="R131" t="s">
        <v>138</v>
      </c>
      <c r="S131" t="s">
        <v>138</v>
      </c>
      <c r="T131" t="s">
        <v>138</v>
      </c>
      <c r="U131" t="s">
        <v>138</v>
      </c>
      <c r="V131" t="s">
        <v>138</v>
      </c>
      <c r="W131" t="s">
        <v>138</v>
      </c>
      <c r="X131" t="s">
        <v>138</v>
      </c>
      <c r="Y131" t="s">
        <v>138</v>
      </c>
      <c r="Z131" t="s">
        <v>138</v>
      </c>
      <c r="AA131" t="s">
        <v>138</v>
      </c>
      <c r="AB131" t="s">
        <v>138</v>
      </c>
      <c r="AC131" t="s">
        <v>138</v>
      </c>
      <c r="AD131" t="s">
        <v>138</v>
      </c>
      <c r="AE131" t="s">
        <v>138</v>
      </c>
      <c r="AF131" t="s">
        <v>138</v>
      </c>
      <c r="AG131" t="s">
        <v>138</v>
      </c>
      <c r="AH131" t="s">
        <v>138</v>
      </c>
      <c r="AI131" t="s">
        <v>138</v>
      </c>
      <c r="AJ131" t="s">
        <v>138</v>
      </c>
      <c r="AK131" t="s">
        <v>138</v>
      </c>
      <c r="AL131" t="s">
        <v>138</v>
      </c>
      <c r="AM131" t="s">
        <v>138</v>
      </c>
      <c r="AN131" t="s">
        <v>138</v>
      </c>
      <c r="AO131" t="s">
        <v>138</v>
      </c>
      <c r="AP131" t="s">
        <v>138</v>
      </c>
      <c r="AQ131" t="s">
        <v>138</v>
      </c>
      <c r="AR131" t="s">
        <v>138</v>
      </c>
      <c r="AS131" t="s">
        <v>138</v>
      </c>
      <c r="AT131" t="s">
        <v>138</v>
      </c>
      <c r="AU131" t="s">
        <v>138</v>
      </c>
      <c r="AV131" t="s">
        <v>138</v>
      </c>
      <c r="AW131" t="s">
        <v>138</v>
      </c>
      <c r="AX131" t="s">
        <v>138</v>
      </c>
      <c r="AY131" t="s">
        <v>138</v>
      </c>
      <c r="AZ131" t="s">
        <v>138</v>
      </c>
      <c r="BA131" t="s">
        <v>138</v>
      </c>
      <c r="BB131" t="s">
        <v>138</v>
      </c>
      <c r="BC131" t="s">
        <v>138</v>
      </c>
      <c r="BD131" t="s">
        <v>138</v>
      </c>
      <c r="BE131" t="s">
        <v>138</v>
      </c>
      <c r="BF131" t="s">
        <v>138</v>
      </c>
      <c r="BG131" t="s">
        <v>138</v>
      </c>
      <c r="BH131" t="s">
        <v>138</v>
      </c>
      <c r="BI131" t="s">
        <v>138</v>
      </c>
      <c r="BJ131" t="s">
        <v>138</v>
      </c>
      <c r="BK131" t="s">
        <v>138</v>
      </c>
      <c r="BL131" t="s">
        <v>138</v>
      </c>
      <c r="BM131" t="s">
        <v>138</v>
      </c>
      <c r="BN131" t="s">
        <v>138</v>
      </c>
    </row>
    <row r="132" spans="1:66" x14ac:dyDescent="0.25">
      <c r="A132">
        <f>YEAR([1]chla!A132)</f>
        <v>2024</v>
      </c>
      <c r="B132">
        <f>MONTH([1]chla!A132)</f>
        <v>3</v>
      </c>
      <c r="C132">
        <f>DAY([1]chla!A132)</f>
        <v>1</v>
      </c>
      <c r="D132">
        <v>-64.662880000000001</v>
      </c>
      <c r="E132">
        <v>-56.424370000000003</v>
      </c>
      <c r="F132">
        <v>24.596868421052601</v>
      </c>
      <c r="G132">
        <v>0.49288585949001701</v>
      </c>
      <c r="H132">
        <v>0.16424107198839</v>
      </c>
      <c r="I132">
        <v>0.28101912282821001</v>
      </c>
      <c r="J132">
        <v>4.76256646734168E-2</v>
      </c>
      <c r="K132" t="s">
        <v>46</v>
      </c>
      <c r="L132" t="s">
        <v>48</v>
      </c>
      <c r="M132" t="s">
        <v>138</v>
      </c>
      <c r="N132" t="s">
        <v>138</v>
      </c>
      <c r="O132" s="3" t="s">
        <v>138</v>
      </c>
      <c r="P132" t="s">
        <v>138</v>
      </c>
      <c r="Q132" t="s">
        <v>138</v>
      </c>
      <c r="R132" t="s">
        <v>138</v>
      </c>
      <c r="S132" t="s">
        <v>138</v>
      </c>
      <c r="T132" t="s">
        <v>138</v>
      </c>
      <c r="U132" t="s">
        <v>138</v>
      </c>
      <c r="V132" t="s">
        <v>138</v>
      </c>
      <c r="W132" t="s">
        <v>138</v>
      </c>
      <c r="X132" t="s">
        <v>138</v>
      </c>
      <c r="Y132" t="s">
        <v>138</v>
      </c>
      <c r="Z132" t="s">
        <v>138</v>
      </c>
      <c r="AA132" t="s">
        <v>138</v>
      </c>
      <c r="AB132" t="s">
        <v>138</v>
      </c>
      <c r="AC132" t="s">
        <v>138</v>
      </c>
      <c r="AD132" t="s">
        <v>138</v>
      </c>
      <c r="AE132" t="s">
        <v>138</v>
      </c>
      <c r="AF132" t="s">
        <v>138</v>
      </c>
      <c r="AG132" t="s">
        <v>138</v>
      </c>
      <c r="AH132" t="s">
        <v>138</v>
      </c>
      <c r="AI132" t="s">
        <v>138</v>
      </c>
      <c r="AJ132" t="s">
        <v>138</v>
      </c>
      <c r="AK132" t="s">
        <v>138</v>
      </c>
      <c r="AL132" t="s">
        <v>138</v>
      </c>
      <c r="AM132" t="s">
        <v>138</v>
      </c>
      <c r="AN132" t="s">
        <v>138</v>
      </c>
      <c r="AO132" t="s">
        <v>138</v>
      </c>
      <c r="AP132" t="s">
        <v>138</v>
      </c>
      <c r="AQ132" t="s">
        <v>138</v>
      </c>
      <c r="AR132" t="s">
        <v>138</v>
      </c>
      <c r="AS132" t="s">
        <v>138</v>
      </c>
      <c r="AT132" t="s">
        <v>138</v>
      </c>
      <c r="AU132" t="s">
        <v>138</v>
      </c>
      <c r="AV132" t="s">
        <v>138</v>
      </c>
      <c r="AW132" t="s">
        <v>138</v>
      </c>
      <c r="AX132" t="s">
        <v>138</v>
      </c>
      <c r="AY132" t="s">
        <v>138</v>
      </c>
      <c r="AZ132" t="s">
        <v>138</v>
      </c>
      <c r="BA132" t="s">
        <v>138</v>
      </c>
      <c r="BB132" t="s">
        <v>138</v>
      </c>
      <c r="BC132" t="s">
        <v>138</v>
      </c>
      <c r="BD132" t="s">
        <v>138</v>
      </c>
      <c r="BE132" t="s">
        <v>138</v>
      </c>
      <c r="BF132" t="s">
        <v>138</v>
      </c>
      <c r="BG132" t="s">
        <v>138</v>
      </c>
      <c r="BH132" t="s">
        <v>138</v>
      </c>
      <c r="BI132" t="s">
        <v>138</v>
      </c>
      <c r="BJ132" t="s">
        <v>138</v>
      </c>
      <c r="BK132" t="s">
        <v>138</v>
      </c>
      <c r="BL132" t="s">
        <v>138</v>
      </c>
      <c r="BM132" t="s">
        <v>138</v>
      </c>
      <c r="BN132" t="s">
        <v>138</v>
      </c>
    </row>
    <row r="133" spans="1:66" x14ac:dyDescent="0.25">
      <c r="A133">
        <f>YEAR([1]chla!A133)</f>
        <v>2024</v>
      </c>
      <c r="B133">
        <f>MONTH([1]chla!A133)</f>
        <v>3</v>
      </c>
      <c r="C133">
        <f>DAY([1]chla!A133)</f>
        <v>1</v>
      </c>
      <c r="D133">
        <v>-64.662880000000001</v>
      </c>
      <c r="E133">
        <v>-56.424370000000003</v>
      </c>
      <c r="F133">
        <v>13.004807692307599</v>
      </c>
      <c r="G133">
        <v>0.41563018518790701</v>
      </c>
      <c r="H133">
        <v>3.1849242763301901E-2</v>
      </c>
      <c r="I133">
        <v>0.35420870900915502</v>
      </c>
      <c r="J133">
        <v>2.9572233415450198E-2</v>
      </c>
      <c r="K133" t="s">
        <v>46</v>
      </c>
      <c r="L133" t="s">
        <v>48</v>
      </c>
      <c r="M133" t="s">
        <v>197</v>
      </c>
      <c r="N133" t="s">
        <v>46</v>
      </c>
      <c r="O133" s="3" t="s">
        <v>138</v>
      </c>
      <c r="P133" t="s">
        <v>138</v>
      </c>
      <c r="Q133" t="s">
        <v>138</v>
      </c>
      <c r="R133" t="s">
        <v>138</v>
      </c>
      <c r="S133" t="s">
        <v>138</v>
      </c>
      <c r="T133">
        <v>7</v>
      </c>
      <c r="U133" t="s">
        <v>138</v>
      </c>
      <c r="V133" t="s">
        <v>111</v>
      </c>
      <c r="W133">
        <v>9.3799999999999994E-2</v>
      </c>
      <c r="X133">
        <v>0</v>
      </c>
      <c r="Y133">
        <v>9.7000000000000003E-2</v>
      </c>
      <c r="Z133">
        <v>1.1900000000000001E-2</v>
      </c>
      <c r="AA133">
        <v>0.71209999999999996</v>
      </c>
      <c r="AB133">
        <v>0</v>
      </c>
      <c r="AC133">
        <v>0</v>
      </c>
      <c r="AD133" t="s">
        <v>138</v>
      </c>
      <c r="AE133" t="s">
        <v>138</v>
      </c>
      <c r="AF133">
        <v>1.4292</v>
      </c>
      <c r="AG133">
        <v>0.68687299999999996</v>
      </c>
      <c r="AH133">
        <v>0.1925508791290384</v>
      </c>
      <c r="AI133">
        <v>0.80744912087096155</v>
      </c>
      <c r="AJ133">
        <v>0</v>
      </c>
      <c r="AK133">
        <v>0.2751937164512217</v>
      </c>
      <c r="AL133">
        <v>1.1540062835487781</v>
      </c>
      <c r="AM133">
        <v>0</v>
      </c>
      <c r="AN133">
        <v>2.2100900000000001</v>
      </c>
      <c r="AO133">
        <v>0</v>
      </c>
      <c r="AP133">
        <v>0.94440135922066526</v>
      </c>
      <c r="AQ133">
        <v>5.5598640779334782E-2</v>
      </c>
      <c r="AR133">
        <v>0</v>
      </c>
      <c r="AS133">
        <v>1.349738422598175</v>
      </c>
      <c r="AT133">
        <v>7.9461577401825259E-2</v>
      </c>
      <c r="AU133">
        <v>1.5433330000000001</v>
      </c>
      <c r="AV133">
        <v>2.8414087455439869E-3</v>
      </c>
      <c r="AW133">
        <v>0</v>
      </c>
      <c r="AX133">
        <v>0.89745055099401516</v>
      </c>
      <c r="AY133">
        <v>0.1025494490059847</v>
      </c>
      <c r="AZ133">
        <v>0</v>
      </c>
      <c r="BA133">
        <v>1.282636327480646</v>
      </c>
      <c r="BB133">
        <v>0.1465636725193534</v>
      </c>
      <c r="BC133">
        <v>1.369998</v>
      </c>
      <c r="BD133">
        <v>1.450672118241412E-2</v>
      </c>
      <c r="BE133">
        <v>0</v>
      </c>
      <c r="BF133">
        <v>0.92475809273965237</v>
      </c>
      <c r="BG133">
        <v>7.524190726034756E-2</v>
      </c>
      <c r="BH133">
        <v>0</v>
      </c>
      <c r="BI133">
        <v>1.321664266143511</v>
      </c>
      <c r="BJ133">
        <v>0.10753573385648869</v>
      </c>
      <c r="BK133" t="s">
        <v>138</v>
      </c>
      <c r="BL133" t="s">
        <v>138</v>
      </c>
      <c r="BM133" t="s">
        <v>138</v>
      </c>
      <c r="BN133" t="s">
        <v>138</v>
      </c>
    </row>
    <row r="134" spans="1:66" x14ac:dyDescent="0.25">
      <c r="A134">
        <f>YEAR([1]chla!A134)</f>
        <v>2024</v>
      </c>
      <c r="B134">
        <f>MONTH([1]chla!A134)</f>
        <v>3</v>
      </c>
      <c r="C134">
        <f>DAY([1]chla!A134)</f>
        <v>1</v>
      </c>
      <c r="D134">
        <v>-64.662880000000001</v>
      </c>
      <c r="E134">
        <v>-56.424370000000003</v>
      </c>
      <c r="F134">
        <v>0.868148148148148</v>
      </c>
      <c r="G134">
        <v>1.8719403066638796</v>
      </c>
      <c r="H134">
        <v>2.2415918322202247E-2</v>
      </c>
      <c r="I134">
        <v>1.7366786702047954</v>
      </c>
      <c r="J134">
        <v>0.11284571813688174</v>
      </c>
      <c r="K134" t="s">
        <v>46</v>
      </c>
      <c r="L134" t="s">
        <v>48</v>
      </c>
      <c r="M134" t="s">
        <v>195</v>
      </c>
      <c r="N134" t="s">
        <v>46</v>
      </c>
      <c r="O134" s="3">
        <v>45351</v>
      </c>
      <c r="P134" t="s">
        <v>135</v>
      </c>
      <c r="Q134">
        <v>-64.698362766666605</v>
      </c>
      <c r="R134">
        <v>-56.547502199999897</v>
      </c>
      <c r="S134" t="s">
        <v>137</v>
      </c>
      <c r="T134">
        <v>2.2000000000000002</v>
      </c>
      <c r="U134">
        <v>1000</v>
      </c>
      <c r="V134" s="4" t="s">
        <v>103</v>
      </c>
      <c r="W134">
        <v>0.10014356205880889</v>
      </c>
      <c r="X134">
        <v>0</v>
      </c>
      <c r="Y134">
        <v>8.5623830395265235E-2</v>
      </c>
      <c r="Z134">
        <v>1.303050503276376E-2</v>
      </c>
      <c r="AA134">
        <v>0.68810581122850822</v>
      </c>
      <c r="AB134">
        <v>1.752940962869904E-2</v>
      </c>
      <c r="AC134">
        <v>5.5983540032536663E-3</v>
      </c>
      <c r="AD134">
        <v>0.14559329230972429</v>
      </c>
      <c r="AE134">
        <v>1.946100398290278</v>
      </c>
      <c r="AF134">
        <v>2.0916936906000019</v>
      </c>
      <c r="AG134">
        <v>0.68988813877126376</v>
      </c>
      <c r="AH134">
        <v>0.2046743733765467</v>
      </c>
      <c r="AI134">
        <v>0.76268368526772501</v>
      </c>
      <c r="AJ134">
        <v>3.2641941355728357E-2</v>
      </c>
      <c r="AK134">
        <v>0.42811609541923179</v>
      </c>
      <c r="AL134">
        <v>1.595300652398058</v>
      </c>
      <c r="AM134">
        <v>6.8276942782712291E-2</v>
      </c>
      <c r="AN134">
        <v>2.1784553498171442</v>
      </c>
      <c r="AO134">
        <v>7.6881633639358021E-3</v>
      </c>
      <c r="AP134">
        <v>0.93209115490024119</v>
      </c>
      <c r="AQ134">
        <v>6.0220681735823213E-2</v>
      </c>
      <c r="AR134">
        <v>1.60812828006466E-2</v>
      </c>
      <c r="AS134">
        <v>1.9496491877689039</v>
      </c>
      <c r="AT134">
        <v>0.12596322003045221</v>
      </c>
      <c r="AU134">
        <v>1.535680990505119</v>
      </c>
      <c r="AV134">
        <v>3.0371020868229632E-3</v>
      </c>
      <c r="AW134">
        <v>2.4109588860828379E-2</v>
      </c>
      <c r="AX134">
        <v>0.86586414826560498</v>
      </c>
      <c r="AY134">
        <v>0.1100262628735667</v>
      </c>
      <c r="AZ134">
        <v>5.0429874903154807E-2</v>
      </c>
      <c r="BA134">
        <v>1.81112257584391</v>
      </c>
      <c r="BB134">
        <v>0.23014123985293669</v>
      </c>
      <c r="BC134">
        <v>1.359418636589927</v>
      </c>
      <c r="BD134">
        <v>1.528396348677662E-2</v>
      </c>
      <c r="BE134">
        <v>2.2245823327599359E-2</v>
      </c>
      <c r="BF134">
        <v>0.8966036942717982</v>
      </c>
      <c r="BG134">
        <v>8.1150482400602533E-2</v>
      </c>
      <c r="BH134">
        <v>4.6531448296541912E-2</v>
      </c>
      <c r="BI134">
        <v>1.875420290276973</v>
      </c>
      <c r="BJ134">
        <v>0.16974195202648679</v>
      </c>
      <c r="BK134">
        <v>1.8573230815915149</v>
      </c>
      <c r="BL134">
        <v>0.46601207366185521</v>
      </c>
      <c r="BM134">
        <v>1.2307314987025959</v>
      </c>
      <c r="BN134">
        <v>1.3323376781910601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BA80-4334-466C-9C29-B3CBD8C1186B}">
  <dimension ref="A1:BD113"/>
  <sheetViews>
    <sheetView tabSelected="1" workbookViewId="0">
      <selection activeCell="A71" sqref="A71:XFD71"/>
    </sheetView>
  </sheetViews>
  <sheetFormatPr defaultRowHeight="15" x14ac:dyDescent="0.25"/>
  <cols>
    <col min="1" max="1" width="17" customWidth="1"/>
    <col min="2" max="2" width="12.7109375" customWidth="1"/>
    <col min="3" max="3" width="9.140625" customWidth="1"/>
    <col min="5" max="9" width="9.140625" customWidth="1"/>
    <col min="12" max="12" width="15.28515625" customWidth="1"/>
  </cols>
  <sheetData>
    <row r="1" spans="1:56" x14ac:dyDescent="0.25">
      <c r="A1" s="2" t="s">
        <v>58</v>
      </c>
      <c r="B1" s="2" t="s">
        <v>198</v>
      </c>
      <c r="C1" s="2" t="s">
        <v>199</v>
      </c>
      <c r="D1" s="2" t="s">
        <v>5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4</v>
      </c>
      <c r="K1" s="2" t="s">
        <v>3</v>
      </c>
      <c r="L1" s="2" t="s">
        <v>205</v>
      </c>
      <c r="M1" s="2" t="s">
        <v>139</v>
      </c>
      <c r="N1" s="2" t="s">
        <v>140</v>
      </c>
      <c r="O1" s="2" t="s">
        <v>141</v>
      </c>
      <c r="P1" s="2" t="s">
        <v>142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329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  <c r="AM1" s="2" t="s">
        <v>83</v>
      </c>
      <c r="AN1" s="2" t="s">
        <v>84</v>
      </c>
      <c r="AO1" s="2" t="s">
        <v>85</v>
      </c>
      <c r="AP1" s="2" t="s">
        <v>86</v>
      </c>
      <c r="AQ1" s="2" t="s">
        <v>87</v>
      </c>
      <c r="AR1" s="2" t="s">
        <v>88</v>
      </c>
      <c r="AS1" s="2" t="s">
        <v>89</v>
      </c>
      <c r="AT1" s="2" t="s">
        <v>90</v>
      </c>
      <c r="AU1" s="2" t="s">
        <v>91</v>
      </c>
      <c r="AV1" s="2" t="s">
        <v>92</v>
      </c>
      <c r="AW1" s="2" t="s">
        <v>93</v>
      </c>
      <c r="AX1" s="2" t="s">
        <v>94</v>
      </c>
      <c r="AY1" s="2" t="s">
        <v>95</v>
      </c>
      <c r="AZ1" s="2" t="s">
        <v>96</v>
      </c>
      <c r="BA1" s="2" t="s">
        <v>97</v>
      </c>
      <c r="BB1" s="2" t="s">
        <v>98</v>
      </c>
      <c r="BC1" s="2" t="s">
        <v>99</v>
      </c>
      <c r="BD1" s="2" t="s">
        <v>100</v>
      </c>
    </row>
    <row r="2" spans="1:56" x14ac:dyDescent="0.25">
      <c r="A2" t="s">
        <v>110</v>
      </c>
      <c r="B2" t="s">
        <v>206</v>
      </c>
      <c r="C2" t="s">
        <v>111</v>
      </c>
      <c r="D2">
        <v>7</v>
      </c>
      <c r="E2">
        <v>2024</v>
      </c>
      <c r="F2">
        <v>2</v>
      </c>
      <c r="G2">
        <v>8</v>
      </c>
      <c r="H2">
        <v>39</v>
      </c>
      <c r="I2" t="s">
        <v>109</v>
      </c>
      <c r="J2">
        <v>-48.527917500000001</v>
      </c>
      <c r="K2">
        <v>-64.505243416666602</v>
      </c>
      <c r="L2" t="s">
        <v>22</v>
      </c>
      <c r="M2">
        <v>4.1411478148609691</v>
      </c>
      <c r="N2">
        <v>0.13768204152371011</v>
      </c>
      <c r="O2">
        <v>0.20843813449402809</v>
      </c>
      <c r="P2">
        <v>0.21358860398603721</v>
      </c>
      <c r="Q2">
        <v>3.8819482013995141E-2</v>
      </c>
      <c r="R2">
        <v>1.035424817539148E-3</v>
      </c>
      <c r="S2">
        <v>1.9502726724355511E-2</v>
      </c>
      <c r="T2">
        <v>2.734182757479886E-3</v>
      </c>
      <c r="U2">
        <v>6.7644766491575293E-4</v>
      </c>
      <c r="V2">
        <v>5.2297698462553024E-3</v>
      </c>
      <c r="W2">
        <v>1.579864905031648E-3</v>
      </c>
      <c r="X2">
        <v>2.1500260899745289E-2</v>
      </c>
      <c r="Y2">
        <v>9.8527834817048132E-2</v>
      </c>
      <c r="Z2">
        <v>0.1200280957167934</v>
      </c>
      <c r="AA2">
        <v>8.896746549950732E-2</v>
      </c>
      <c r="AB2">
        <v>0.63164009806230281</v>
      </c>
      <c r="AC2">
        <v>0.29371743206671003</v>
      </c>
      <c r="AD2">
        <v>7.4642469870987244E-2</v>
      </c>
      <c r="AE2">
        <v>7.5814558148786848E-2</v>
      </c>
      <c r="AF2">
        <v>3.5254344049793843E-2</v>
      </c>
      <c r="AG2">
        <v>8.9591935182127252E-3</v>
      </c>
      <c r="AH2">
        <v>0.12914437603251391</v>
      </c>
      <c r="AI2">
        <v>3.7627550131681127E-2</v>
      </c>
      <c r="AJ2">
        <v>0.56595401337959073</v>
      </c>
      <c r="AK2">
        <v>0.39641843648872832</v>
      </c>
      <c r="AL2">
        <v>4.5163631887938658E-3</v>
      </c>
      <c r="AM2">
        <v>6.7930382489228891E-2</v>
      </c>
      <c r="AN2">
        <v>4.7581350038770662E-2</v>
      </c>
      <c r="AO2">
        <v>0.1069495237996449</v>
      </c>
      <c r="AP2">
        <v>3.1379751540444329E-4</v>
      </c>
      <c r="AQ2">
        <v>0.1024039139069427</v>
      </c>
      <c r="AR2">
        <v>0.25641757202439541</v>
      </c>
      <c r="AS2">
        <v>0.64117851406866211</v>
      </c>
      <c r="AT2">
        <v>1.2291346780196791E-2</v>
      </c>
      <c r="AU2">
        <v>3.07773128784119E-2</v>
      </c>
      <c r="AV2">
        <v>7.6959436058184741E-2</v>
      </c>
      <c r="AW2">
        <v>8.3529513461131216E-2</v>
      </c>
      <c r="AX2">
        <v>3.0152440993124032E-3</v>
      </c>
      <c r="AY2">
        <v>0.10660690462753949</v>
      </c>
      <c r="AZ2">
        <v>0.32487852004040568</v>
      </c>
      <c r="BA2">
        <v>0.56851457533205496</v>
      </c>
      <c r="BB2">
        <v>1.279582375270537E-2</v>
      </c>
      <c r="BC2">
        <v>3.8994550099739997E-2</v>
      </c>
      <c r="BD2">
        <v>6.8237721864348053E-2</v>
      </c>
    </row>
    <row r="3" spans="1:56" x14ac:dyDescent="0.25">
      <c r="A3" t="s">
        <v>160</v>
      </c>
      <c r="B3" t="s">
        <v>206</v>
      </c>
      <c r="C3" t="s">
        <v>161</v>
      </c>
      <c r="D3">
        <v>7</v>
      </c>
      <c r="E3">
        <v>2024</v>
      </c>
      <c r="F3">
        <v>2</v>
      </c>
      <c r="G3">
        <v>8</v>
      </c>
      <c r="H3">
        <v>39</v>
      </c>
      <c r="I3" t="s">
        <v>159</v>
      </c>
      <c r="J3">
        <v>-48.531537516666603</v>
      </c>
      <c r="K3">
        <v>-64.504269316666594</v>
      </c>
      <c r="L3" t="s">
        <v>22</v>
      </c>
      <c r="M3" t="s">
        <v>138</v>
      </c>
      <c r="N3" t="s">
        <v>138</v>
      </c>
      <c r="O3" t="s">
        <v>138</v>
      </c>
      <c r="P3" t="s">
        <v>138</v>
      </c>
      <c r="Q3">
        <v>1.561896602554721E-2</v>
      </c>
      <c r="R3">
        <v>1.1461008338465701E-3</v>
      </c>
      <c r="S3">
        <v>3.0944872834226061E-2</v>
      </c>
      <c r="T3">
        <v>4.2183305909870468E-3</v>
      </c>
      <c r="U3">
        <v>1.5942965391824999E-3</v>
      </c>
      <c r="V3">
        <v>6.3025527611264981E-3</v>
      </c>
      <c r="W3">
        <v>1.539693334259734E-3</v>
      </c>
      <c r="X3">
        <v>1.221508031086573E-2</v>
      </c>
      <c r="Y3">
        <v>7.5394225897900305E-2</v>
      </c>
      <c r="Z3">
        <v>8.760930620876603E-2</v>
      </c>
      <c r="AA3">
        <v>7.3061440957768439E-2</v>
      </c>
      <c r="AB3">
        <v>0.32354609985599769</v>
      </c>
      <c r="AC3">
        <v>0.57120392894994909</v>
      </c>
      <c r="AD3">
        <v>0.10524997119405299</v>
      </c>
      <c r="AE3">
        <v>2.834564933493609E-2</v>
      </c>
      <c r="AF3">
        <v>5.0042779919026323E-2</v>
      </c>
      <c r="AG3">
        <v>9.2208769548035949E-3</v>
      </c>
      <c r="AH3">
        <v>8.1830259780363332E-2</v>
      </c>
      <c r="AI3">
        <v>6.4799179179395566E-2</v>
      </c>
      <c r="AJ3">
        <v>0.68053880673719169</v>
      </c>
      <c r="AK3">
        <v>0.25466201408341282</v>
      </c>
      <c r="AL3">
        <v>5.6770111308043622E-3</v>
      </c>
      <c r="AM3">
        <v>5.9621532706386871E-2</v>
      </c>
      <c r="AN3">
        <v>2.23107623715748E-2</v>
      </c>
      <c r="AO3">
        <v>8.5236585182778588E-2</v>
      </c>
      <c r="AP3">
        <v>5.9875011267722367E-4</v>
      </c>
      <c r="AQ3">
        <v>0.15040284585480371</v>
      </c>
      <c r="AR3">
        <v>0.52253983602221588</v>
      </c>
      <c r="AS3">
        <v>0.32705731812298072</v>
      </c>
      <c r="AT3">
        <v>1.317668897716333E-2</v>
      </c>
      <c r="AU3">
        <v>4.5779352500348702E-2</v>
      </c>
      <c r="AV3">
        <v>2.865326473125402E-2</v>
      </c>
      <c r="AW3">
        <v>6.9179228881837071E-2</v>
      </c>
      <c r="AX3">
        <v>4.7806534307187638E-3</v>
      </c>
      <c r="AY3">
        <v>0.14828071398619741</v>
      </c>
      <c r="AZ3">
        <v>0.63297215083070946</v>
      </c>
      <c r="BA3">
        <v>0.21874713518309319</v>
      </c>
      <c r="BB3">
        <v>1.2990770476471221E-2</v>
      </c>
      <c r="BC3">
        <v>5.5454250983748857E-2</v>
      </c>
      <c r="BD3">
        <v>1.9164284748545941E-2</v>
      </c>
    </row>
    <row r="4" spans="1:56" x14ac:dyDescent="0.25">
      <c r="A4" t="s">
        <v>163</v>
      </c>
      <c r="B4" t="s">
        <v>206</v>
      </c>
      <c r="C4" t="s">
        <v>164</v>
      </c>
      <c r="D4">
        <v>7</v>
      </c>
      <c r="E4">
        <v>2024</v>
      </c>
      <c r="F4">
        <v>2</v>
      </c>
      <c r="G4">
        <v>8</v>
      </c>
      <c r="H4">
        <v>39</v>
      </c>
      <c r="I4" t="s">
        <v>162</v>
      </c>
      <c r="J4">
        <v>-48.538825750000001</v>
      </c>
      <c r="K4">
        <v>-64.501922183333306</v>
      </c>
      <c r="L4" t="s">
        <v>22</v>
      </c>
      <c r="M4" t="s">
        <v>138</v>
      </c>
      <c r="N4" t="s">
        <v>138</v>
      </c>
      <c r="O4" t="s">
        <v>138</v>
      </c>
      <c r="P4" t="s">
        <v>138</v>
      </c>
      <c r="Q4">
        <v>7.851937309747186E-3</v>
      </c>
      <c r="R4">
        <v>9.9186026188039238E-4</v>
      </c>
      <c r="S4">
        <v>2.4321504290472251E-2</v>
      </c>
      <c r="T4">
        <v>3.2407251860027951E-3</v>
      </c>
      <c r="U4">
        <v>9.057732521081652E-4</v>
      </c>
      <c r="V4">
        <v>4.8583136543679352E-3</v>
      </c>
      <c r="W4">
        <v>9.2046843420577433E-4</v>
      </c>
      <c r="X4">
        <v>7.1154190261089956E-3</v>
      </c>
      <c r="Y4">
        <v>5.4976944624235843E-2</v>
      </c>
      <c r="Z4">
        <v>6.2092363650344838E-2</v>
      </c>
      <c r="AA4">
        <v>5.0734282435589112E-2</v>
      </c>
      <c r="AB4">
        <v>0.24578557096626241</v>
      </c>
      <c r="AC4">
        <v>0.64189393545893958</v>
      </c>
      <c r="AD4">
        <v>0.1123204935747982</v>
      </c>
      <c r="AE4">
        <v>1.52614070524448E-2</v>
      </c>
      <c r="AF4">
        <v>3.9856711665467448E-2</v>
      </c>
      <c r="AG4">
        <v>6.9742449324325878E-3</v>
      </c>
      <c r="AH4">
        <v>5.1398208270594797E-2</v>
      </c>
      <c r="AI4">
        <v>7.1646844538985552E-2</v>
      </c>
      <c r="AJ4">
        <v>0.72186051458307743</v>
      </c>
      <c r="AK4">
        <v>0.20649264087793701</v>
      </c>
      <c r="AL4">
        <v>4.4487219255144143E-3</v>
      </c>
      <c r="AM4">
        <v>4.4822025576317502E-2</v>
      </c>
      <c r="AN4">
        <v>1.282161614851293E-2</v>
      </c>
      <c r="AO4">
        <v>5.8310309089564742E-2</v>
      </c>
      <c r="AP4">
        <v>4.0926253612841269E-4</v>
      </c>
      <c r="AQ4">
        <v>0.28049869523134652</v>
      </c>
      <c r="AR4">
        <v>0.47155403901248111</v>
      </c>
      <c r="AS4">
        <v>0.2479472657561724</v>
      </c>
      <c r="AT4">
        <v>1.7416826987752008E-2</v>
      </c>
      <c r="AU4">
        <v>2.9279904871151868E-2</v>
      </c>
      <c r="AV4">
        <v>1.5395631791440949E-2</v>
      </c>
      <c r="AW4">
        <v>4.7585677424849059E-2</v>
      </c>
      <c r="AX4">
        <v>3.6411951889173972E-3</v>
      </c>
      <c r="AY4">
        <v>0.27559013349883238</v>
      </c>
      <c r="AZ4">
        <v>0.59040825214020298</v>
      </c>
      <c r="BA4">
        <v>0.13400161436096461</v>
      </c>
      <c r="BB4">
        <v>1.711204278765658E-2</v>
      </c>
      <c r="BC4">
        <v>3.6659843894053967E-2</v>
      </c>
      <c r="BD4">
        <v>8.3204769686342859E-3</v>
      </c>
    </row>
    <row r="5" spans="1:56" x14ac:dyDescent="0.25">
      <c r="A5" t="s">
        <v>131</v>
      </c>
      <c r="B5" t="s">
        <v>207</v>
      </c>
      <c r="C5" t="s">
        <v>111</v>
      </c>
      <c r="D5">
        <v>7</v>
      </c>
      <c r="E5">
        <v>2024</v>
      </c>
      <c r="F5">
        <v>2</v>
      </c>
      <c r="G5">
        <v>16</v>
      </c>
      <c r="H5">
        <v>47</v>
      </c>
      <c r="I5" t="s">
        <v>130</v>
      </c>
      <c r="J5">
        <v>-55.058077016666601</v>
      </c>
      <c r="K5">
        <v>-64.584626066666601</v>
      </c>
      <c r="L5" t="s">
        <v>208</v>
      </c>
      <c r="M5">
        <v>2.4057080810105731</v>
      </c>
      <c r="N5">
        <v>0.30322653404305372</v>
      </c>
      <c r="O5">
        <v>0.68938363513280909</v>
      </c>
      <c r="P5">
        <v>0.81941824461213042</v>
      </c>
      <c r="Q5">
        <v>0.22462692620550639</v>
      </c>
      <c r="R5">
        <v>4.6542930162485454E-3</v>
      </c>
      <c r="S5">
        <v>5.7174538058510457E-2</v>
      </c>
      <c r="T5">
        <v>1.522074683252524E-2</v>
      </c>
      <c r="U5">
        <v>4.3502360001292158E-2</v>
      </c>
      <c r="V5">
        <v>4.2388936179218607E-2</v>
      </c>
      <c r="W5">
        <v>2.495426800514974E-3</v>
      </c>
      <c r="X5">
        <v>4.7753131432332702E-2</v>
      </c>
      <c r="Y5">
        <v>0.83304847662767734</v>
      </c>
      <c r="Z5">
        <v>0.88080160806001007</v>
      </c>
      <c r="AA5">
        <v>0.47228575241859561</v>
      </c>
      <c r="AB5">
        <v>0.68451465547522938</v>
      </c>
      <c r="AC5">
        <v>0.22029108478007731</v>
      </c>
      <c r="AD5">
        <v>9.5194259744693241E-2</v>
      </c>
      <c r="AE5">
        <v>0.6029216092832258</v>
      </c>
      <c r="AF5">
        <v>0.19403274171557611</v>
      </c>
      <c r="AG5">
        <v>8.3847257061208089E-2</v>
      </c>
      <c r="AH5">
        <v>0.80289294069943851</v>
      </c>
      <c r="AI5">
        <v>2.9537996336542069E-2</v>
      </c>
      <c r="AJ5">
        <v>0.60204776680780403</v>
      </c>
      <c r="AK5">
        <v>0.36841423685565378</v>
      </c>
      <c r="AL5">
        <v>2.6017114672096942E-2</v>
      </c>
      <c r="AM5">
        <v>0.53028464113325169</v>
      </c>
      <c r="AN5">
        <v>0.32449985225466133</v>
      </c>
      <c r="AO5">
        <v>0.63180491880653977</v>
      </c>
      <c r="AP5">
        <v>3.2089174307125068E-3</v>
      </c>
      <c r="AQ5">
        <v>0.1235310899746937</v>
      </c>
      <c r="AR5">
        <v>0.25548314531495703</v>
      </c>
      <c r="AS5">
        <v>0.62098576471034916</v>
      </c>
      <c r="AT5">
        <v>0.108806382695116</v>
      </c>
      <c r="AU5">
        <v>0.22502996522564331</v>
      </c>
      <c r="AV5">
        <v>0.54696526013925062</v>
      </c>
      <c r="AW5">
        <v>0.49542678917180921</v>
      </c>
      <c r="AX5">
        <v>1.608833500384297E-2</v>
      </c>
      <c r="AY5">
        <v>0.1186321824334448</v>
      </c>
      <c r="AZ5">
        <v>0.32561350386216459</v>
      </c>
      <c r="BA5">
        <v>0.55575431370439066</v>
      </c>
      <c r="BB5">
        <v>0.1044914170550466</v>
      </c>
      <c r="BC5">
        <v>0.2868008978078489</v>
      </c>
      <c r="BD5">
        <v>0.48950929319711461</v>
      </c>
    </row>
    <row r="6" spans="1:56" x14ac:dyDescent="0.25">
      <c r="A6" t="s">
        <v>166</v>
      </c>
      <c r="B6" t="s">
        <v>207</v>
      </c>
      <c r="C6" t="s">
        <v>161</v>
      </c>
      <c r="D6">
        <v>7</v>
      </c>
      <c r="E6">
        <v>2024</v>
      </c>
      <c r="F6">
        <v>2</v>
      </c>
      <c r="G6">
        <v>16</v>
      </c>
      <c r="H6">
        <v>47</v>
      </c>
      <c r="I6" t="s">
        <v>165</v>
      </c>
      <c r="J6">
        <v>-55.061472583333298</v>
      </c>
      <c r="K6">
        <v>-64.586114466666601</v>
      </c>
      <c r="L6" t="s">
        <v>208</v>
      </c>
      <c r="M6" t="s">
        <v>138</v>
      </c>
      <c r="N6" t="s">
        <v>138</v>
      </c>
      <c r="O6" t="s">
        <v>138</v>
      </c>
      <c r="P6" t="s">
        <v>138</v>
      </c>
      <c r="Q6">
        <v>8.5011514839625713E-2</v>
      </c>
      <c r="R6">
        <v>1.6605320952215849E-3</v>
      </c>
      <c r="S6">
        <v>3.5025313759921177E-2</v>
      </c>
      <c r="T6">
        <v>7.9031118802780284E-3</v>
      </c>
      <c r="U6">
        <v>3.7497285597716971E-2</v>
      </c>
      <c r="V6">
        <v>3.557071574896873E-2</v>
      </c>
      <c r="W6">
        <v>2.0779097517657609E-3</v>
      </c>
      <c r="X6">
        <v>2.4507007888210738E-2</v>
      </c>
      <c r="Y6">
        <v>0.45036837097110088</v>
      </c>
      <c r="Z6">
        <v>0.47487537885931158</v>
      </c>
      <c r="AA6">
        <v>0.22966762046293901</v>
      </c>
      <c r="AB6">
        <v>0.53210629313702085</v>
      </c>
      <c r="AC6">
        <v>0.30368498986160852</v>
      </c>
      <c r="AD6">
        <v>0.16420871700137071</v>
      </c>
      <c r="AE6">
        <v>0.25268417754686667</v>
      </c>
      <c r="AF6">
        <v>0.1442125246144175</v>
      </c>
      <c r="AG6">
        <v>7.7978676698027397E-2</v>
      </c>
      <c r="AH6">
        <v>0.39098182382133068</v>
      </c>
      <c r="AI6">
        <v>5.0837808853698582E-2</v>
      </c>
      <c r="AJ6">
        <v>0.66292622514274002</v>
      </c>
      <c r="AK6">
        <v>0.28623596600356133</v>
      </c>
      <c r="AL6">
        <v>2.4141623739777379E-2</v>
      </c>
      <c r="AM6">
        <v>0.31480734232043189</v>
      </c>
      <c r="AN6">
        <v>0.1359264127991022</v>
      </c>
      <c r="AO6">
        <v>0.32969426802912333</v>
      </c>
      <c r="AP6">
        <v>1.2888555960921149E-3</v>
      </c>
      <c r="AQ6">
        <v>0.1985988430020775</v>
      </c>
      <c r="AR6">
        <v>0.3518894419340925</v>
      </c>
      <c r="AS6">
        <v>0.44951171506382992</v>
      </c>
      <c r="AT6">
        <v>9.4309700811632494E-2</v>
      </c>
      <c r="AU6">
        <v>0.16710363205504389</v>
      </c>
      <c r="AV6">
        <v>0.21346204599263521</v>
      </c>
      <c r="AW6">
        <v>0.2635270025399043</v>
      </c>
      <c r="AX6">
        <v>8.3561228726527093E-3</v>
      </c>
      <c r="AY6">
        <v>0.18707350606691431</v>
      </c>
      <c r="AZ6">
        <v>0.42904517327639891</v>
      </c>
      <c r="BA6">
        <v>0.3838813206566869</v>
      </c>
      <c r="BB6">
        <v>8.8836602068065651E-2</v>
      </c>
      <c r="BC6">
        <v>0.2037429892073889</v>
      </c>
      <c r="BD6">
        <v>0.18229578758385709</v>
      </c>
    </row>
    <row r="7" spans="1:56" x14ac:dyDescent="0.25">
      <c r="A7" t="s">
        <v>168</v>
      </c>
      <c r="B7" t="s">
        <v>207</v>
      </c>
      <c r="C7" t="s">
        <v>164</v>
      </c>
      <c r="D7">
        <v>7</v>
      </c>
      <c r="E7">
        <v>2024</v>
      </c>
      <c r="F7">
        <v>2</v>
      </c>
      <c r="G7">
        <v>16</v>
      </c>
      <c r="H7">
        <v>47</v>
      </c>
      <c r="I7" t="s">
        <v>167</v>
      </c>
      <c r="J7">
        <v>-55.066383916666602</v>
      </c>
      <c r="K7">
        <v>-64.588357633333302</v>
      </c>
      <c r="L7" t="s">
        <v>208</v>
      </c>
      <c r="M7" t="s">
        <v>138</v>
      </c>
      <c r="N7" t="s">
        <v>138</v>
      </c>
      <c r="O7" t="s">
        <v>138</v>
      </c>
      <c r="P7" t="s">
        <v>138</v>
      </c>
      <c r="Q7">
        <v>8.2259343716499553E-2</v>
      </c>
      <c r="R7">
        <v>7.8487365210248665E-4</v>
      </c>
      <c r="S7">
        <v>2.7604941734775051E-2</v>
      </c>
      <c r="T7">
        <v>6.0230121631347257E-3</v>
      </c>
      <c r="U7">
        <v>3.4849959542213219E-2</v>
      </c>
      <c r="V7">
        <v>3.072729244695549E-2</v>
      </c>
      <c r="W7">
        <v>1.901788730403523E-3</v>
      </c>
      <c r="X7">
        <v>2.3865831910888612E-2</v>
      </c>
      <c r="Y7">
        <v>0.4132362569283819</v>
      </c>
      <c r="Z7">
        <v>0.43710208883927049</v>
      </c>
      <c r="AA7">
        <v>0.20783875615489031</v>
      </c>
      <c r="AB7">
        <v>0.56338071231751718</v>
      </c>
      <c r="AC7">
        <v>0.27942962640860131</v>
      </c>
      <c r="AD7">
        <v>0.15718966127388151</v>
      </c>
      <c r="AE7">
        <v>0.2462548861657429</v>
      </c>
      <c r="AF7">
        <v>0.1221392733867766</v>
      </c>
      <c r="AG7">
        <v>6.8707929286750999E-2</v>
      </c>
      <c r="AH7">
        <v>0.36435008002905278</v>
      </c>
      <c r="AI7">
        <v>4.7571133561711748E-2</v>
      </c>
      <c r="AJ7">
        <v>0.65595919483784582</v>
      </c>
      <c r="AK7">
        <v>0.29646967160044252</v>
      </c>
      <c r="AL7">
        <v>2.0793441848276129E-2</v>
      </c>
      <c r="AM7">
        <v>0.2867211342569484</v>
      </c>
      <c r="AN7">
        <v>0.12958751273404601</v>
      </c>
      <c r="AO7">
        <v>0.29987542008824591</v>
      </c>
      <c r="AP7">
        <v>8.7355420263860969E-4</v>
      </c>
      <c r="AQ7">
        <v>0.1889866159037748</v>
      </c>
      <c r="AR7">
        <v>0.33480135690409962</v>
      </c>
      <c r="AS7">
        <v>0.47621202719212558</v>
      </c>
      <c r="AT7">
        <v>8.2606444574204865E-2</v>
      </c>
      <c r="AU7">
        <v>0.146342372449004</v>
      </c>
      <c r="AV7">
        <v>0.20815327181606161</v>
      </c>
      <c r="AW7">
        <v>0.23923230612068111</v>
      </c>
      <c r="AX7">
        <v>6.3246871221966493E-3</v>
      </c>
      <c r="AY7">
        <v>0.17859242820442289</v>
      </c>
      <c r="AZ7">
        <v>0.40578942135292839</v>
      </c>
      <c r="BA7">
        <v>0.41561815044264871</v>
      </c>
      <c r="BB7">
        <v>7.8063123419030697E-2</v>
      </c>
      <c r="BC7">
        <v>0.17737140370224391</v>
      </c>
      <c r="BD7">
        <v>0.18166756171799589</v>
      </c>
    </row>
    <row r="8" spans="1:56" x14ac:dyDescent="0.25">
      <c r="A8" t="s">
        <v>170</v>
      </c>
      <c r="B8" t="s">
        <v>209</v>
      </c>
      <c r="C8" t="s">
        <v>111</v>
      </c>
      <c r="D8">
        <v>7</v>
      </c>
      <c r="E8">
        <v>2024</v>
      </c>
      <c r="F8">
        <v>2</v>
      </c>
      <c r="G8">
        <v>17</v>
      </c>
      <c r="H8">
        <v>48</v>
      </c>
      <c r="I8" t="s">
        <v>169</v>
      </c>
      <c r="J8">
        <v>-55.519041299999998</v>
      </c>
      <c r="K8">
        <v>-66.164771583333305</v>
      </c>
      <c r="L8" t="s">
        <v>210</v>
      </c>
      <c r="M8">
        <v>3.2683734445064432</v>
      </c>
      <c r="N8">
        <v>0.1948202124054223</v>
      </c>
      <c r="O8">
        <v>0.348552780191348</v>
      </c>
      <c r="P8">
        <v>0.37426249592695238</v>
      </c>
      <c r="Q8">
        <v>0.1145682018716972</v>
      </c>
      <c r="R8">
        <v>9.8555015261527022E-3</v>
      </c>
      <c r="S8">
        <v>1.6717480053099809E-2</v>
      </c>
      <c r="T8">
        <v>7.499755999534446E-3</v>
      </c>
      <c r="U8">
        <v>3.6326190639542379E-3</v>
      </c>
      <c r="V8">
        <v>7.2108510232494302E-2</v>
      </c>
      <c r="W8">
        <v>5.7391052594453909E-3</v>
      </c>
      <c r="X8">
        <v>2.2917589792206001E-2</v>
      </c>
      <c r="Y8">
        <v>0.33838252061235008</v>
      </c>
      <c r="Z8">
        <v>0.36130011040455612</v>
      </c>
      <c r="AA8">
        <v>0.279238333354557</v>
      </c>
      <c r="AB8">
        <v>0.62827126807196054</v>
      </c>
      <c r="AC8">
        <v>9.3238221962126125E-2</v>
      </c>
      <c r="AD8">
        <v>0.27849050996591329</v>
      </c>
      <c r="AE8">
        <v>0.22699447851840979</v>
      </c>
      <c r="AF8">
        <v>3.368697988884068E-2</v>
      </c>
      <c r="AG8">
        <v>0.1006186519973056</v>
      </c>
      <c r="AH8">
        <v>0.41381771250630589</v>
      </c>
      <c r="AI8">
        <v>0.1029787718498877</v>
      </c>
      <c r="AJ8">
        <v>0.52647967006439567</v>
      </c>
      <c r="AK8">
        <v>0.37054155808571659</v>
      </c>
      <c r="AL8">
        <v>3.7206241638690039E-2</v>
      </c>
      <c r="AM8">
        <v>0.19021716292002039</v>
      </c>
      <c r="AN8">
        <v>0.13387670584584571</v>
      </c>
      <c r="AO8">
        <v>0.37989880187831548</v>
      </c>
      <c r="AP8">
        <v>9.6435653487243647E-4</v>
      </c>
      <c r="AQ8">
        <v>0.35357262781441312</v>
      </c>
      <c r="AR8">
        <v>8.6670268045150711E-2</v>
      </c>
      <c r="AS8">
        <v>0.55975710414043622</v>
      </c>
      <c r="AT8">
        <v>0.12774582946537649</v>
      </c>
      <c r="AU8">
        <v>3.1313977413505417E-2</v>
      </c>
      <c r="AV8">
        <v>0.20224030352567421</v>
      </c>
      <c r="AW8">
        <v>0.28884397413995871</v>
      </c>
      <c r="AX8">
        <v>6.8932531302653994E-3</v>
      </c>
      <c r="AY8">
        <v>0.35286519493898111</v>
      </c>
      <c r="AZ8">
        <v>0.13147253377372209</v>
      </c>
      <c r="BA8">
        <v>0.51566227128729669</v>
      </c>
      <c r="BB8">
        <v>0.12749023388937911</v>
      </c>
      <c r="BC8">
        <v>4.7501040967612547E-2</v>
      </c>
      <c r="BD8">
        <v>0.1863088355475645</v>
      </c>
    </row>
    <row r="9" spans="1:56" x14ac:dyDescent="0.25">
      <c r="A9" t="s">
        <v>172</v>
      </c>
      <c r="B9" t="s">
        <v>211</v>
      </c>
      <c r="C9" t="s">
        <v>161</v>
      </c>
      <c r="D9">
        <v>7</v>
      </c>
      <c r="E9">
        <v>2024</v>
      </c>
      <c r="F9">
        <v>2</v>
      </c>
      <c r="G9">
        <v>19</v>
      </c>
      <c r="H9">
        <v>50</v>
      </c>
      <c r="I9" t="s">
        <v>171</v>
      </c>
      <c r="J9">
        <v>-55.995885149999999</v>
      </c>
      <c r="K9">
        <v>-66.347837883333298</v>
      </c>
      <c r="L9" t="s">
        <v>212</v>
      </c>
      <c r="M9" t="s">
        <v>138</v>
      </c>
      <c r="N9" t="s">
        <v>138</v>
      </c>
      <c r="O9" t="s">
        <v>138</v>
      </c>
      <c r="P9" t="s">
        <v>138</v>
      </c>
      <c r="Q9">
        <v>3.0102759286948791E-2</v>
      </c>
      <c r="R9">
        <v>1.4299883661387061E-2</v>
      </c>
      <c r="S9">
        <v>1.480684811872103E-2</v>
      </c>
      <c r="T9">
        <v>5.2272306965225508E-3</v>
      </c>
      <c r="U9">
        <v>2.9633949717924189E-3</v>
      </c>
      <c r="V9">
        <v>4.3366361608570499E-2</v>
      </c>
      <c r="W9">
        <v>5.2336257078525071E-3</v>
      </c>
      <c r="X9">
        <v>1.0808810424172911E-2</v>
      </c>
      <c r="Y9">
        <v>0.17116732734351381</v>
      </c>
      <c r="Z9">
        <v>0.1819761377676867</v>
      </c>
      <c r="AA9">
        <v>0.133320934728197</v>
      </c>
      <c r="AB9">
        <v>0.46960161721632598</v>
      </c>
      <c r="AC9">
        <v>0.16810761853212489</v>
      </c>
      <c r="AD9">
        <v>0.36229076425154899</v>
      </c>
      <c r="AE9">
        <v>8.5456288590486623E-2</v>
      </c>
      <c r="AF9">
        <v>3.0591575149799679E-2</v>
      </c>
      <c r="AG9">
        <v>6.5928274027400383E-2</v>
      </c>
      <c r="AH9">
        <v>0.16716988734164809</v>
      </c>
      <c r="AI9">
        <v>0.1695119945498946</v>
      </c>
      <c r="AJ9">
        <v>0.56636402369540584</v>
      </c>
      <c r="AK9">
        <v>0.26412398175469959</v>
      </c>
      <c r="AL9">
        <v>3.084713807348698E-2</v>
      </c>
      <c r="AM9">
        <v>0.10306473760265659</v>
      </c>
      <c r="AN9">
        <v>4.8064262091543179E-2</v>
      </c>
      <c r="AO9">
        <v>0.1832007624246775</v>
      </c>
      <c r="AP9">
        <v>6.1099625315987494E-4</v>
      </c>
      <c r="AQ9">
        <v>0.45106304856890161</v>
      </c>
      <c r="AR9">
        <v>0.1501859316358834</v>
      </c>
      <c r="AS9">
        <v>0.39875101979521499</v>
      </c>
      <c r="AT9">
        <v>8.2082711468287203E-2</v>
      </c>
      <c r="AU9">
        <v>2.7330255786139891E-2</v>
      </c>
      <c r="AV9">
        <v>7.2563170513259612E-2</v>
      </c>
      <c r="AW9">
        <v>0.1398908745394431</v>
      </c>
      <c r="AX9">
        <v>4.9502079317253721E-3</v>
      </c>
      <c r="AY9">
        <v>0.45473764701856489</v>
      </c>
      <c r="AZ9">
        <v>0.21849900230437491</v>
      </c>
      <c r="BA9">
        <v>0.32676335067706019</v>
      </c>
      <c r="BB9">
        <v>8.2751400702004055E-2</v>
      </c>
      <c r="BC9">
        <v>3.9761604545443023E-2</v>
      </c>
      <c r="BD9">
        <v>5.9463132520239638E-2</v>
      </c>
    </row>
    <row r="10" spans="1:56" x14ac:dyDescent="0.25">
      <c r="A10" t="s">
        <v>174</v>
      </c>
      <c r="B10" t="s">
        <v>211</v>
      </c>
      <c r="C10" t="s">
        <v>164</v>
      </c>
      <c r="D10">
        <v>7</v>
      </c>
      <c r="E10">
        <v>2024</v>
      </c>
      <c r="F10">
        <v>2</v>
      </c>
      <c r="G10">
        <v>19</v>
      </c>
      <c r="H10">
        <v>50</v>
      </c>
      <c r="I10" t="s">
        <v>173</v>
      </c>
      <c r="J10">
        <v>-55.998503383333301</v>
      </c>
      <c r="K10">
        <v>-66.346100116666605</v>
      </c>
      <c r="L10" t="s">
        <v>212</v>
      </c>
      <c r="M10" t="s">
        <v>138</v>
      </c>
      <c r="N10" t="s">
        <v>138</v>
      </c>
      <c r="O10" t="s">
        <v>138</v>
      </c>
      <c r="P10" t="s">
        <v>138</v>
      </c>
      <c r="Q10">
        <v>2.5077943338532121E-2</v>
      </c>
      <c r="R10">
        <v>1.1662142325404461E-2</v>
      </c>
      <c r="S10">
        <v>1.454579535526865E-2</v>
      </c>
      <c r="T10">
        <v>5.099372165284919E-3</v>
      </c>
      <c r="U10">
        <v>2.8755477220254498E-3</v>
      </c>
      <c r="V10">
        <v>3.7823872207275171E-2</v>
      </c>
      <c r="W10">
        <v>4.8339842681264806E-3</v>
      </c>
      <c r="X10">
        <v>1.0460944681334841E-2</v>
      </c>
      <c r="Y10">
        <v>0.15509785519187799</v>
      </c>
      <c r="Z10">
        <v>0.16555879987321279</v>
      </c>
      <c r="AA10">
        <v>0.11614612717834349</v>
      </c>
      <c r="AB10">
        <v>0.44602021646925682</v>
      </c>
      <c r="AC10">
        <v>0.1892725097798626</v>
      </c>
      <c r="AD10">
        <v>0.36470727375088058</v>
      </c>
      <c r="AE10">
        <v>7.384257175784073E-2</v>
      </c>
      <c r="AF10">
        <v>3.1335729568144982E-2</v>
      </c>
      <c r="AG10">
        <v>6.0380498547227067E-2</v>
      </c>
      <c r="AH10">
        <v>0.1442466233241099</v>
      </c>
      <c r="AI10">
        <v>0.17417999427631739</v>
      </c>
      <c r="AJ10">
        <v>0.57139039139297199</v>
      </c>
      <c r="AK10">
        <v>0.25442961433071049</v>
      </c>
      <c r="AL10">
        <v>2.8837030814310188E-2</v>
      </c>
      <c r="AM10">
        <v>9.459870745810578E-2</v>
      </c>
      <c r="AN10">
        <v>4.2123061600796818E-2</v>
      </c>
      <c r="AO10">
        <v>0.15961831883366659</v>
      </c>
      <c r="AP10">
        <v>5.9042943325317927E-4</v>
      </c>
      <c r="AQ10">
        <v>0.45329280934977811</v>
      </c>
      <c r="AR10">
        <v>0.16871341793875069</v>
      </c>
      <c r="AS10">
        <v>0.37799377271147122</v>
      </c>
      <c r="AT10">
        <v>7.50466135071063E-2</v>
      </c>
      <c r="AU10">
        <v>2.7931990996447331E-2</v>
      </c>
      <c r="AV10">
        <v>6.2580195369659142E-2</v>
      </c>
      <c r="AW10">
        <v>0.12266640078945309</v>
      </c>
      <c r="AX10">
        <v>4.8298839662648816E-3</v>
      </c>
      <c r="AY10">
        <v>0.45516499857143827</v>
      </c>
      <c r="AZ10">
        <v>0.24373358765624881</v>
      </c>
      <c r="BA10">
        <v>0.30110141377231281</v>
      </c>
      <c r="BB10">
        <v>7.5356570907779932E-2</v>
      </c>
      <c r="BC10">
        <v>4.0352240261161069E-2</v>
      </c>
      <c r="BD10">
        <v>4.9849988704271771E-2</v>
      </c>
    </row>
    <row r="11" spans="1:56" x14ac:dyDescent="0.25">
      <c r="A11" t="s">
        <v>134</v>
      </c>
      <c r="B11" t="s">
        <v>211</v>
      </c>
      <c r="C11" t="s">
        <v>111</v>
      </c>
      <c r="D11">
        <v>7</v>
      </c>
      <c r="E11">
        <v>2024</v>
      </c>
      <c r="F11">
        <v>2</v>
      </c>
      <c r="G11">
        <v>19</v>
      </c>
      <c r="H11">
        <v>50</v>
      </c>
      <c r="I11" t="s">
        <v>133</v>
      </c>
      <c r="J11">
        <v>-56.000077283333297</v>
      </c>
      <c r="K11">
        <v>-66.345165216666601</v>
      </c>
      <c r="L11" t="s">
        <v>212</v>
      </c>
      <c r="M11">
        <v>3.5367555703931539</v>
      </c>
      <c r="N11">
        <v>0.17409864747251169</v>
      </c>
      <c r="O11">
        <v>0.29315618715701752</v>
      </c>
      <c r="P11">
        <v>0.30584132857865309</v>
      </c>
      <c r="Q11">
        <v>0.12826126477890681</v>
      </c>
      <c r="R11">
        <v>1.7732455146224471E-2</v>
      </c>
      <c r="S11">
        <v>2.0184572175724769E-2</v>
      </c>
      <c r="T11">
        <v>7.0902961690976121E-3</v>
      </c>
      <c r="U11">
        <v>3.4825206808803619E-3</v>
      </c>
      <c r="V11">
        <v>4.9727243361749718E-2</v>
      </c>
      <c r="W11">
        <v>4.523773403836669E-3</v>
      </c>
      <c r="X11">
        <v>3.6915610774568647E-2</v>
      </c>
      <c r="Y11">
        <v>0.34467994722321682</v>
      </c>
      <c r="Z11">
        <v>0.38159555799778538</v>
      </c>
      <c r="AA11">
        <v>0.29017162874798458</v>
      </c>
      <c r="AB11">
        <v>0.70941168846392533</v>
      </c>
      <c r="AC11">
        <v>0.10409536887259389</v>
      </c>
      <c r="AD11">
        <v>0.18649294266348079</v>
      </c>
      <c r="AE11">
        <v>0.27070834910954272</v>
      </c>
      <c r="AF11">
        <v>3.972233036992278E-2</v>
      </c>
      <c r="AG11">
        <v>7.1164878518319971E-2</v>
      </c>
      <c r="AH11">
        <v>0.43982553123803331</v>
      </c>
      <c r="AI11">
        <v>6.8772587777502031E-2</v>
      </c>
      <c r="AJ11">
        <v>0.53590255109132023</v>
      </c>
      <c r="AK11">
        <v>0.39532486113117782</v>
      </c>
      <c r="AL11">
        <v>2.624331400790756E-2</v>
      </c>
      <c r="AM11">
        <v>0.20449803301612901</v>
      </c>
      <c r="AN11">
        <v>0.15085421097374879</v>
      </c>
      <c r="AO11">
        <v>0.37840491885071559</v>
      </c>
      <c r="AP11">
        <v>9.5791447703942004E-4</v>
      </c>
      <c r="AQ11">
        <v>0.24634779539079019</v>
      </c>
      <c r="AR11">
        <v>9.705090539213794E-2</v>
      </c>
      <c r="AS11">
        <v>0.65660129921707178</v>
      </c>
      <c r="AT11">
        <v>9.4005224443672833E-2</v>
      </c>
      <c r="AU11">
        <v>3.7034194397303162E-2</v>
      </c>
      <c r="AV11">
        <v>0.25055613915680941</v>
      </c>
      <c r="AW11">
        <v>0.28587411219183079</v>
      </c>
      <c r="AX11">
        <v>6.8244652982936017E-3</v>
      </c>
      <c r="AY11">
        <v>0.24844360227071099</v>
      </c>
      <c r="AZ11">
        <v>0.14288157868481799</v>
      </c>
      <c r="BA11">
        <v>0.60867481904447107</v>
      </c>
      <c r="BB11">
        <v>9.4804975039471814E-2</v>
      </c>
      <c r="BC11">
        <v>5.4522975745837608E-2</v>
      </c>
      <c r="BD11">
        <v>0.232267607212476</v>
      </c>
    </row>
    <row r="12" spans="1:56" x14ac:dyDescent="0.25">
      <c r="A12" t="s">
        <v>176</v>
      </c>
      <c r="B12" t="s">
        <v>213</v>
      </c>
      <c r="C12" t="s">
        <v>111</v>
      </c>
      <c r="D12">
        <v>7</v>
      </c>
      <c r="E12">
        <v>2024</v>
      </c>
      <c r="F12">
        <v>2</v>
      </c>
      <c r="G12">
        <v>24</v>
      </c>
      <c r="H12">
        <v>55</v>
      </c>
      <c r="I12" t="s">
        <v>175</v>
      </c>
      <c r="J12">
        <v>-50.988165616666599</v>
      </c>
      <c r="K12">
        <v>-62.330759033333301</v>
      </c>
      <c r="L12" t="s">
        <v>214</v>
      </c>
      <c r="M12">
        <v>3.595359681989621</v>
      </c>
      <c r="N12">
        <v>0.17002119869568111</v>
      </c>
      <c r="O12">
        <v>0.2828309073861543</v>
      </c>
      <c r="P12">
        <v>0.29375078460643472</v>
      </c>
      <c r="Q12">
        <v>3.1774312341067382E-2</v>
      </c>
      <c r="R12">
        <v>6.9564325374480741E-3</v>
      </c>
      <c r="S12">
        <v>7.4006292959467646E-2</v>
      </c>
      <c r="T12">
        <v>3.7175105492020769E-3</v>
      </c>
      <c r="U12">
        <v>8.5180279698752089E-3</v>
      </c>
      <c r="V12">
        <v>3.184007850215284E-3</v>
      </c>
      <c r="W12">
        <v>6.821418215227006E-4</v>
      </c>
      <c r="X12">
        <v>2.9372897754443721E-2</v>
      </c>
      <c r="Y12">
        <v>0.13855781318864921</v>
      </c>
      <c r="Z12">
        <v>0.16793071094309289</v>
      </c>
      <c r="AA12">
        <v>0.15881277770660349</v>
      </c>
      <c r="AB12">
        <v>0.34386622454016852</v>
      </c>
      <c r="AC12">
        <v>0.63219055155720683</v>
      </c>
      <c r="AD12">
        <v>2.394322390262462E-2</v>
      </c>
      <c r="AE12">
        <v>5.7745699556347709E-2</v>
      </c>
      <c r="AF12">
        <v>0.1061642087745078</v>
      </c>
      <c r="AG12">
        <v>4.0208026122374079E-3</v>
      </c>
      <c r="AH12">
        <v>0.18333408094615231</v>
      </c>
      <c r="AI12">
        <v>1.381815778736614E-2</v>
      </c>
      <c r="AJ12">
        <v>0.74661933600814889</v>
      </c>
      <c r="AK12">
        <v>0.23956250620448491</v>
      </c>
      <c r="AL12">
        <v>2.320493061156231E-3</v>
      </c>
      <c r="AM12">
        <v>0.12538031589970841</v>
      </c>
      <c r="AN12">
        <v>4.0229901982228249E-2</v>
      </c>
      <c r="AO12">
        <v>0.1810422056969265</v>
      </c>
      <c r="AP12">
        <v>6.7758821642505921E-4</v>
      </c>
      <c r="AQ12">
        <v>3.5223617847664528E-2</v>
      </c>
      <c r="AR12">
        <v>0.60750014822222287</v>
      </c>
      <c r="AS12">
        <v>0.35727623393011282</v>
      </c>
      <c r="AT12">
        <v>5.9151271871461207E-3</v>
      </c>
      <c r="AU12">
        <v>0.1020179317889922</v>
      </c>
      <c r="AV12">
        <v>5.9997651966954613E-2</v>
      </c>
      <c r="AW12">
        <v>0.1448584165250299</v>
      </c>
      <c r="AX12">
        <v>5.1117323753758588E-3</v>
      </c>
      <c r="AY12">
        <v>3.4915711306892513E-2</v>
      </c>
      <c r="AZ12">
        <v>0.68210654706223839</v>
      </c>
      <c r="BA12">
        <v>0.28297774163086908</v>
      </c>
      <c r="BB12">
        <v>5.8634202228502472E-3</v>
      </c>
      <c r="BC12">
        <v>0.1145466373870999</v>
      </c>
      <c r="BD12">
        <v>4.7520653333142697E-2</v>
      </c>
    </row>
    <row r="13" spans="1:56" x14ac:dyDescent="0.25">
      <c r="A13" t="s">
        <v>178</v>
      </c>
      <c r="B13" t="s">
        <v>213</v>
      </c>
      <c r="C13" t="s">
        <v>161</v>
      </c>
      <c r="D13">
        <v>7</v>
      </c>
      <c r="E13">
        <v>2024</v>
      </c>
      <c r="F13">
        <v>2</v>
      </c>
      <c r="G13">
        <v>24</v>
      </c>
      <c r="H13">
        <v>55</v>
      </c>
      <c r="I13" t="s">
        <v>177</v>
      </c>
      <c r="J13">
        <v>-50.988164150000003</v>
      </c>
      <c r="K13">
        <v>-62.330758183333302</v>
      </c>
      <c r="L13" t="s">
        <v>214</v>
      </c>
      <c r="M13" t="s">
        <v>138</v>
      </c>
      <c r="N13" t="s">
        <v>138</v>
      </c>
      <c r="O13" t="s">
        <v>138</v>
      </c>
      <c r="P13" t="s">
        <v>138</v>
      </c>
      <c r="Q13">
        <v>1.059298844456266E-2</v>
      </c>
      <c r="R13">
        <v>6.7809213533748256E-3</v>
      </c>
      <c r="S13">
        <v>7.2788394810455126E-2</v>
      </c>
      <c r="T13">
        <v>3.727611659898046E-3</v>
      </c>
      <c r="U13">
        <v>8.0773362399643098E-3</v>
      </c>
      <c r="V13">
        <v>2.8178333222423548E-3</v>
      </c>
      <c r="W13">
        <v>7.6197399494438544E-4</v>
      </c>
      <c r="X13">
        <v>2.2256380066124178E-2</v>
      </c>
      <c r="Y13">
        <v>0.11423503103923011</v>
      </c>
      <c r="Z13">
        <v>0.13649141110535429</v>
      </c>
      <c r="AA13">
        <v>0.12659084934042969</v>
      </c>
      <c r="AB13">
        <v>0.19351487838756529</v>
      </c>
      <c r="AC13">
        <v>0.77882665096183357</v>
      </c>
      <c r="AD13">
        <v>2.7658470650601171E-2</v>
      </c>
      <c r="AE13">
        <v>2.6413118820999809E-2</v>
      </c>
      <c r="AF13">
        <v>0.10630314859623791</v>
      </c>
      <c r="AG13">
        <v>3.7751436881165801E-3</v>
      </c>
      <c r="AH13">
        <v>0.12516148086503401</v>
      </c>
      <c r="AI13">
        <v>1.9835033243545821E-2</v>
      </c>
      <c r="AJ13">
        <v>0.85141514055099698</v>
      </c>
      <c r="AK13">
        <v>0.12874982620545719</v>
      </c>
      <c r="AL13">
        <v>2.7073116767331821E-3</v>
      </c>
      <c r="AM13">
        <v>0.1162108539702691</v>
      </c>
      <c r="AN13">
        <v>1.7573245458351979E-2</v>
      </c>
      <c r="AO13">
        <v>0.1410709043792478</v>
      </c>
      <c r="AP13">
        <v>6.7623684757407449E-4</v>
      </c>
      <c r="AQ13">
        <v>4.1172177167866572E-2</v>
      </c>
      <c r="AR13">
        <v>0.76344984353036882</v>
      </c>
      <c r="AS13">
        <v>0.19537797930176451</v>
      </c>
      <c r="AT13">
        <v>5.6196485599217571E-3</v>
      </c>
      <c r="AU13">
        <v>0.10420434645162201</v>
      </c>
      <c r="AV13">
        <v>2.6667416093810549E-2</v>
      </c>
      <c r="AW13">
        <v>0.1148479935067913</v>
      </c>
      <c r="AX13">
        <v>5.1065606073805473E-3</v>
      </c>
      <c r="AY13">
        <v>4.0766300765092002E-2</v>
      </c>
      <c r="AZ13">
        <v>0.84340237982120658</v>
      </c>
      <c r="BA13">
        <v>0.1158313194137013</v>
      </c>
      <c r="BB13">
        <v>5.5642499169726916E-3</v>
      </c>
      <c r="BC13">
        <v>0.11511718095141051</v>
      </c>
      <c r="BD13">
        <v>1.5809980236971111E-2</v>
      </c>
    </row>
    <row r="14" spans="1:56" x14ac:dyDescent="0.25">
      <c r="A14" t="s">
        <v>180</v>
      </c>
      <c r="B14" t="s">
        <v>213</v>
      </c>
      <c r="C14" t="s">
        <v>164</v>
      </c>
      <c r="D14">
        <v>7</v>
      </c>
      <c r="E14">
        <v>2024</v>
      </c>
      <c r="F14">
        <v>2</v>
      </c>
      <c r="G14">
        <v>24</v>
      </c>
      <c r="H14">
        <v>55</v>
      </c>
      <c r="I14" t="s">
        <v>179</v>
      </c>
      <c r="J14">
        <v>-50.988166066666601</v>
      </c>
      <c r="K14">
        <v>-62.330757583333302</v>
      </c>
      <c r="L14" t="s">
        <v>214</v>
      </c>
      <c r="M14" t="s">
        <v>138</v>
      </c>
      <c r="N14" t="s">
        <v>138</v>
      </c>
      <c r="O14" t="s">
        <v>138</v>
      </c>
      <c r="P14" t="s">
        <v>138</v>
      </c>
      <c r="Q14">
        <v>8.9384558479420253E-3</v>
      </c>
      <c r="R14">
        <v>6.6011195954630538E-3</v>
      </c>
      <c r="S14">
        <v>6.6507244316203196E-2</v>
      </c>
      <c r="T14">
        <v>3.371945897581509E-3</v>
      </c>
      <c r="U14">
        <v>7.4400520286336926E-3</v>
      </c>
      <c r="V14">
        <v>2.3130518499136468E-3</v>
      </c>
      <c r="W14">
        <v>6.1458971765947375E-4</v>
      </c>
      <c r="X14">
        <v>2.7329778780014389E-2</v>
      </c>
      <c r="Y14">
        <v>9.9011513833857395E-2</v>
      </c>
      <c r="Z14">
        <v>0.12634129261387181</v>
      </c>
      <c r="AA14">
        <v>0.1148839434637129</v>
      </c>
      <c r="AB14">
        <v>0.19072118099882149</v>
      </c>
      <c r="AC14">
        <v>0.78434296252524927</v>
      </c>
      <c r="AD14">
        <v>2.4935856475929389E-2</v>
      </c>
      <c r="AE14">
        <v>2.409596053623532E-2</v>
      </c>
      <c r="AF14">
        <v>9.9094903738033605E-2</v>
      </c>
      <c r="AG14">
        <v>3.1504283396029051E-3</v>
      </c>
      <c r="AH14">
        <v>0.1127437172080703</v>
      </c>
      <c r="AI14">
        <v>1.7928367011098751E-2</v>
      </c>
      <c r="AJ14">
        <v>0.85889184992678347</v>
      </c>
      <c r="AK14">
        <v>0.1231797830621179</v>
      </c>
      <c r="AL14">
        <v>2.265093062638114E-3</v>
      </c>
      <c r="AM14">
        <v>0.10851350653526939</v>
      </c>
      <c r="AN14">
        <v>1.5562693015964279E-2</v>
      </c>
      <c r="AO14">
        <v>0.12776106532589221</v>
      </c>
      <c r="AP14">
        <v>5.8537054967803084E-4</v>
      </c>
      <c r="AQ14">
        <v>3.7228913104939532E-2</v>
      </c>
      <c r="AR14">
        <v>0.77047408200225442</v>
      </c>
      <c r="AS14">
        <v>0.19229700489280591</v>
      </c>
      <c r="AT14">
        <v>4.7035490042875716E-3</v>
      </c>
      <c r="AU14">
        <v>9.7342691445651094E-2</v>
      </c>
      <c r="AV14">
        <v>2.4295052163933128E-2</v>
      </c>
      <c r="AW14">
        <v>0.1039625440748982</v>
      </c>
      <c r="AX14">
        <v>4.6054524091273816E-3</v>
      </c>
      <c r="AY14">
        <v>3.6831193295785478E-2</v>
      </c>
      <c r="AZ14">
        <v>0.85120614355560398</v>
      </c>
      <c r="BA14">
        <v>0.1119626631486107</v>
      </c>
      <c r="BB14">
        <v>4.6533005695009073E-3</v>
      </c>
      <c r="BC14">
        <v>0.1075424844576839</v>
      </c>
      <c r="BD14">
        <v>1.414550758668698E-2</v>
      </c>
    </row>
    <row r="15" spans="1:56" x14ac:dyDescent="0.25">
      <c r="A15" t="s">
        <v>182</v>
      </c>
      <c r="B15" t="s">
        <v>215</v>
      </c>
      <c r="C15" t="s">
        <v>111</v>
      </c>
      <c r="D15">
        <v>7</v>
      </c>
      <c r="E15">
        <v>2024</v>
      </c>
      <c r="F15">
        <v>2</v>
      </c>
      <c r="G15">
        <v>27</v>
      </c>
      <c r="H15">
        <v>58</v>
      </c>
      <c r="I15" t="s">
        <v>181</v>
      </c>
      <c r="J15">
        <v>-57.671521783333297</v>
      </c>
      <c r="K15">
        <v>-65.364712683333295</v>
      </c>
      <c r="L15" t="s">
        <v>216</v>
      </c>
      <c r="M15">
        <v>1.8812438411744461</v>
      </c>
      <c r="N15">
        <v>0.45527897076967822</v>
      </c>
      <c r="O15">
        <v>1.196038268788491</v>
      </c>
      <c r="P15">
        <v>1.305845196735395</v>
      </c>
      <c r="Q15">
        <v>0.1214128168136771</v>
      </c>
      <c r="R15">
        <v>1.1976992375236769E-2</v>
      </c>
      <c r="S15">
        <v>7.1269636186111623E-2</v>
      </c>
      <c r="T15">
        <v>2.0838957928615919E-2</v>
      </c>
      <c r="U15">
        <v>0.35696676459240612</v>
      </c>
      <c r="V15">
        <v>5.6013068366153197E-2</v>
      </c>
      <c r="W15">
        <v>2.302369434890531E-3</v>
      </c>
      <c r="X15">
        <v>0.1203931252229988</v>
      </c>
      <c r="Y15">
        <v>1.1615338134199049</v>
      </c>
      <c r="Z15">
        <v>1.281926938642904</v>
      </c>
      <c r="AA15">
        <v>0.55861899970701012</v>
      </c>
      <c r="AB15">
        <v>0.33668677766960009</v>
      </c>
      <c r="AC15">
        <v>0.55849538263190923</v>
      </c>
      <c r="AD15">
        <v>0.10481783969849071</v>
      </c>
      <c r="AE15">
        <v>0.43160785017953462</v>
      </c>
      <c r="AF15">
        <v>0.71595027610352069</v>
      </c>
      <c r="AG15">
        <v>0.13436881235984879</v>
      </c>
      <c r="AH15">
        <v>1.394459937798233</v>
      </c>
      <c r="AI15">
        <v>2.1388741881117529E-2</v>
      </c>
      <c r="AJ15">
        <v>0.86171783358126763</v>
      </c>
      <c r="AK15">
        <v>0.1168934245376151</v>
      </c>
      <c r="AL15">
        <v>2.7418804401084261E-2</v>
      </c>
      <c r="AM15">
        <v>1.10465930437683</v>
      </c>
      <c r="AN15">
        <v>0.14984882986499021</v>
      </c>
      <c r="AO15">
        <v>1.0596583369843491</v>
      </c>
      <c r="AP15">
        <v>4.9464835086947207E-3</v>
      </c>
      <c r="AQ15">
        <v>9.6349665114319624E-2</v>
      </c>
      <c r="AR15">
        <v>0.69522801549020596</v>
      </c>
      <c r="AS15">
        <v>0.20842231939547451</v>
      </c>
      <c r="AT15">
        <v>0.1235132312392688</v>
      </c>
      <c r="AU15">
        <v>0.89123152155614116</v>
      </c>
      <c r="AV15">
        <v>0.26718218584749409</v>
      </c>
      <c r="AW15">
        <v>0.9060357225034128</v>
      </c>
      <c r="AX15">
        <v>2.1959654684844291E-2</v>
      </c>
      <c r="AY15">
        <v>8.4290495317341882E-2</v>
      </c>
      <c r="AZ15">
        <v>0.76098252168732705</v>
      </c>
      <c r="BA15">
        <v>0.15472698299533119</v>
      </c>
      <c r="BB15">
        <v>0.10805425661885409</v>
      </c>
      <c r="BC15">
        <v>0.97552399438739246</v>
      </c>
      <c r="BD15">
        <v>0.1983486876366575</v>
      </c>
    </row>
    <row r="16" spans="1:56" x14ac:dyDescent="0.25">
      <c r="A16" t="s">
        <v>184</v>
      </c>
      <c r="B16" t="s">
        <v>215</v>
      </c>
      <c r="C16" t="s">
        <v>161</v>
      </c>
      <c r="D16">
        <v>7</v>
      </c>
      <c r="E16">
        <v>2024</v>
      </c>
      <c r="F16">
        <v>2</v>
      </c>
      <c r="G16">
        <v>27</v>
      </c>
      <c r="H16">
        <v>58</v>
      </c>
      <c r="I16" t="s">
        <v>183</v>
      </c>
      <c r="J16">
        <v>-57.671388950000001</v>
      </c>
      <c r="K16">
        <v>-65.364397066666598</v>
      </c>
      <c r="L16" t="s">
        <v>216</v>
      </c>
      <c r="M16" t="s">
        <v>138</v>
      </c>
      <c r="N16" t="s">
        <v>138</v>
      </c>
      <c r="O16" t="s">
        <v>138</v>
      </c>
      <c r="P16" t="s">
        <v>138</v>
      </c>
      <c r="Q16">
        <v>9.2632667363310855E-2</v>
      </c>
      <c r="R16">
        <v>1.2689702996720601E-2</v>
      </c>
      <c r="S16">
        <v>6.9774337217179849E-2</v>
      </c>
      <c r="T16">
        <v>1.8665969865200489E-2</v>
      </c>
      <c r="U16">
        <v>0.32710072233264298</v>
      </c>
      <c r="V16">
        <v>5.2645039275035353E-2</v>
      </c>
      <c r="W16">
        <v>2.1621781134430092E-3</v>
      </c>
      <c r="X16">
        <v>8.9450283735125924E-2</v>
      </c>
      <c r="Y16">
        <v>1.016472956914094</v>
      </c>
      <c r="Z16">
        <v>1.1059232406492201</v>
      </c>
      <c r="AA16">
        <v>0.49494243617121542</v>
      </c>
      <c r="AB16">
        <v>0.30004406847076692</v>
      </c>
      <c r="AC16">
        <v>0.58876933926396646</v>
      </c>
      <c r="AD16">
        <v>0.1111865922652667</v>
      </c>
      <c r="AE16">
        <v>0.33182570854076698</v>
      </c>
      <c r="AF16">
        <v>0.65113369567370594</v>
      </c>
      <c r="AG16">
        <v>0.1229638364347472</v>
      </c>
      <c r="AH16">
        <v>1.2364704244356359</v>
      </c>
      <c r="AI16">
        <v>2.2669106060093279E-2</v>
      </c>
      <c r="AJ16">
        <v>0.87580287211750552</v>
      </c>
      <c r="AK16">
        <v>0.1015280218224013</v>
      </c>
      <c r="AL16">
        <v>2.5070291236599231E-2</v>
      </c>
      <c r="AM16">
        <v>0.96857075050208619</v>
      </c>
      <c r="AN16">
        <v>0.1122821989105347</v>
      </c>
      <c r="AO16">
        <v>0.94890975779533493</v>
      </c>
      <c r="AP16">
        <v>4.3247830193760368E-3</v>
      </c>
      <c r="AQ16">
        <v>0.10112324629318439</v>
      </c>
      <c r="AR16">
        <v>0.71662120633498272</v>
      </c>
      <c r="AS16">
        <v>0.18225554737183261</v>
      </c>
      <c r="AT16">
        <v>0.1118345482455278</v>
      </c>
      <c r="AU16">
        <v>0.79252804682793754</v>
      </c>
      <c r="AV16">
        <v>0.20156064557575459</v>
      </c>
      <c r="AW16">
        <v>0.81358300528030869</v>
      </c>
      <c r="AX16">
        <v>1.991279030109426E-2</v>
      </c>
      <c r="AY16">
        <v>8.8221893195818246E-2</v>
      </c>
      <c r="AZ16">
        <v>0.78138763746129314</v>
      </c>
      <c r="BA16">
        <v>0.1303904693428887</v>
      </c>
      <c r="BB16">
        <v>9.75666420193287E-2</v>
      </c>
      <c r="BC16">
        <v>0.86415474822443128</v>
      </c>
      <c r="BD16">
        <v>0.14420185040546021</v>
      </c>
    </row>
    <row r="17" spans="1:56" x14ac:dyDescent="0.25">
      <c r="A17" t="s">
        <v>186</v>
      </c>
      <c r="B17" t="s">
        <v>215</v>
      </c>
      <c r="C17" t="s">
        <v>164</v>
      </c>
      <c r="D17">
        <v>7</v>
      </c>
      <c r="E17">
        <v>2024</v>
      </c>
      <c r="F17">
        <v>2</v>
      </c>
      <c r="G17">
        <v>27</v>
      </c>
      <c r="H17">
        <v>58</v>
      </c>
      <c r="I17" t="s">
        <v>185</v>
      </c>
      <c r="J17">
        <v>-57.67142965</v>
      </c>
      <c r="K17">
        <v>-65.363850016666603</v>
      </c>
      <c r="L17" t="s">
        <v>216</v>
      </c>
      <c r="M17" t="s">
        <v>138</v>
      </c>
      <c r="N17" t="s">
        <v>138</v>
      </c>
      <c r="O17" t="s">
        <v>138</v>
      </c>
      <c r="P17" t="s">
        <v>138</v>
      </c>
      <c r="Q17">
        <v>7.7390654633209155E-2</v>
      </c>
      <c r="R17">
        <v>1.1224089837091E-2</v>
      </c>
      <c r="S17">
        <v>6.3614286013338101E-2</v>
      </c>
      <c r="T17">
        <v>1.7329479406873911E-2</v>
      </c>
      <c r="U17">
        <v>0.30980897610844199</v>
      </c>
      <c r="V17">
        <v>4.7635930561326298E-2</v>
      </c>
      <c r="W17">
        <v>1.452265061729077E-3</v>
      </c>
      <c r="X17">
        <v>7.0220847633940112E-2</v>
      </c>
      <c r="Y17">
        <v>0.96026290998610309</v>
      </c>
      <c r="Z17">
        <v>1.030483757620043</v>
      </c>
      <c r="AA17">
        <v>0.44704887421756018</v>
      </c>
      <c r="AB17">
        <v>0.27949246024119673</v>
      </c>
      <c r="AC17">
        <v>0.61009178732810931</v>
      </c>
      <c r="AD17">
        <v>0.1104157524306939</v>
      </c>
      <c r="AE17">
        <v>0.28801244065581888</v>
      </c>
      <c r="AF17">
        <v>0.62868967749899818</v>
      </c>
      <c r="AG17">
        <v>0.1137816394652259</v>
      </c>
      <c r="AH17">
        <v>1.137804657103334</v>
      </c>
      <c r="AI17">
        <v>2.161735769325274E-2</v>
      </c>
      <c r="AJ17">
        <v>0.88602433935931935</v>
      </c>
      <c r="AK17">
        <v>9.2358302947427889E-2</v>
      </c>
      <c r="AL17">
        <v>2.2276335985559632E-2</v>
      </c>
      <c r="AM17">
        <v>0.91303369056580752</v>
      </c>
      <c r="AN17">
        <v>9.5173731068675785E-2</v>
      </c>
      <c r="AO17">
        <v>0.87169939395869911</v>
      </c>
      <c r="AP17">
        <v>3.855610396361525E-3</v>
      </c>
      <c r="AQ17">
        <v>9.9004671405619957E-2</v>
      </c>
      <c r="AR17">
        <v>0.73464028174050577</v>
      </c>
      <c r="AS17">
        <v>0.16635504685387431</v>
      </c>
      <c r="AT17">
        <v>0.1020227058120009</v>
      </c>
      <c r="AU17">
        <v>0.75703487802700342</v>
      </c>
      <c r="AV17">
        <v>0.17142617378103861</v>
      </c>
      <c r="AW17">
        <v>0.74990389301125859</v>
      </c>
      <c r="AX17">
        <v>1.8351798001510919E-2</v>
      </c>
      <c r="AY17">
        <v>8.5732337456501287E-2</v>
      </c>
      <c r="AZ17">
        <v>0.79830022167083903</v>
      </c>
      <c r="BA17">
        <v>0.1159674408726598</v>
      </c>
      <c r="BB17">
        <v>8.8345781251725E-2</v>
      </c>
      <c r="BC17">
        <v>0.82263541213627944</v>
      </c>
      <c r="BD17">
        <v>0.1195025642320386</v>
      </c>
    </row>
    <row r="18" spans="1:56" x14ac:dyDescent="0.25">
      <c r="A18" t="s">
        <v>144</v>
      </c>
      <c r="B18" t="s">
        <v>217</v>
      </c>
      <c r="C18">
        <v>70</v>
      </c>
      <c r="D18">
        <v>70</v>
      </c>
      <c r="E18">
        <v>2024</v>
      </c>
      <c r="F18">
        <v>1</v>
      </c>
      <c r="G18">
        <v>31</v>
      </c>
      <c r="H18">
        <v>31</v>
      </c>
      <c r="I18" t="s">
        <v>143</v>
      </c>
      <c r="J18">
        <v>-59.887626733333299</v>
      </c>
      <c r="K18">
        <v>-66.136094683333297</v>
      </c>
      <c r="L18" t="s">
        <v>218</v>
      </c>
      <c r="M18" t="s">
        <v>138</v>
      </c>
      <c r="N18" t="s">
        <v>138</v>
      </c>
      <c r="O18" t="s">
        <v>138</v>
      </c>
      <c r="P18" t="s">
        <v>138</v>
      </c>
      <c r="Q18">
        <v>2.9797973983429361E-2</v>
      </c>
      <c r="R18">
        <v>0</v>
      </c>
      <c r="S18">
        <v>6.5991672610701796E-2</v>
      </c>
      <c r="T18">
        <v>9.3582920440646086E-3</v>
      </c>
      <c r="U18">
        <v>0</v>
      </c>
      <c r="V18">
        <v>5.1785812860666762E-3</v>
      </c>
      <c r="W18">
        <v>1.7978352315059661E-3</v>
      </c>
      <c r="X18">
        <v>8.087868515649051E-3</v>
      </c>
      <c r="Y18">
        <v>0.13186810288370809</v>
      </c>
      <c r="Z18">
        <v>0.13995597139935709</v>
      </c>
      <c r="AA18">
        <v>0.1358764751456718</v>
      </c>
      <c r="AB18">
        <v>0.3092157290037984</v>
      </c>
      <c r="AC18">
        <v>0.64091172763829163</v>
      </c>
      <c r="AD18">
        <v>4.9872543357909839E-2</v>
      </c>
      <c r="AE18">
        <v>4.3276587724686962E-2</v>
      </c>
      <c r="AF18">
        <v>8.9699423422857277E-2</v>
      </c>
      <c r="AG18">
        <v>6.9799602518128261E-3</v>
      </c>
      <c r="AH18">
        <v>0.14308402296868719</v>
      </c>
      <c r="AI18">
        <v>3.6109152155101777E-2</v>
      </c>
      <c r="AJ18">
        <v>0.6910766991482612</v>
      </c>
      <c r="AK18">
        <v>0.27281414869663689</v>
      </c>
      <c r="AL18">
        <v>5.0536914662744591E-3</v>
      </c>
      <c r="AM18">
        <v>9.6720310740756141E-2</v>
      </c>
      <c r="AN18">
        <v>3.818196919232647E-2</v>
      </c>
      <c r="AO18">
        <v>0.1499128327226377</v>
      </c>
      <c r="AP18">
        <v>1.908225439354564E-3</v>
      </c>
      <c r="AQ18">
        <v>7.3960468417528555E-2</v>
      </c>
      <c r="AR18">
        <v>0.60233033614304665</v>
      </c>
      <c r="AS18">
        <v>0.32370919543942489</v>
      </c>
      <c r="AT18">
        <v>1.035120920252668E-2</v>
      </c>
      <c r="AU18">
        <v>8.4299727298201371E-2</v>
      </c>
      <c r="AV18">
        <v>4.5305034898629047E-2</v>
      </c>
      <c r="AW18">
        <v>0.1228437990032121</v>
      </c>
      <c r="AX18">
        <v>1.0950020498592049E-2</v>
      </c>
      <c r="AY18">
        <v>7.424979819670513E-2</v>
      </c>
      <c r="AZ18">
        <v>0.72629089063653585</v>
      </c>
      <c r="BA18">
        <v>0.19945931116675919</v>
      </c>
      <c r="BB18">
        <v>1.03917026328261E-2</v>
      </c>
      <c r="BC18">
        <v>0.1016487471175406</v>
      </c>
      <c r="BD18">
        <v>2.7915521648990419E-2</v>
      </c>
    </row>
    <row r="19" spans="1:56" x14ac:dyDescent="0.25">
      <c r="A19" t="s">
        <v>145</v>
      </c>
      <c r="B19" t="s">
        <v>217</v>
      </c>
      <c r="C19">
        <v>37</v>
      </c>
      <c r="D19">
        <v>37</v>
      </c>
      <c r="E19">
        <v>2024</v>
      </c>
      <c r="F19">
        <v>1</v>
      </c>
      <c r="G19">
        <v>31</v>
      </c>
      <c r="H19">
        <v>31</v>
      </c>
      <c r="I19" t="s">
        <v>143</v>
      </c>
      <c r="J19">
        <v>-59.887626733333299</v>
      </c>
      <c r="K19">
        <v>-66.136094683333297</v>
      </c>
      <c r="L19" t="s">
        <v>218</v>
      </c>
      <c r="M19" t="s">
        <v>138</v>
      </c>
      <c r="N19" t="s">
        <v>138</v>
      </c>
      <c r="O19" t="s">
        <v>138</v>
      </c>
      <c r="P19" t="s">
        <v>138</v>
      </c>
      <c r="Q19">
        <v>0.1138954825493587</v>
      </c>
      <c r="R19">
        <v>0</v>
      </c>
      <c r="S19">
        <v>0.35632273858596059</v>
      </c>
      <c r="T19">
        <v>2.0013601058014651E-2</v>
      </c>
      <c r="U19">
        <v>0</v>
      </c>
      <c r="V19">
        <v>1.5673271504976619E-2</v>
      </c>
      <c r="W19">
        <v>1.094663768940863E-2</v>
      </c>
      <c r="X19">
        <v>6.6709283538434583E-2</v>
      </c>
      <c r="Y19">
        <v>0.73080188751332331</v>
      </c>
      <c r="Z19">
        <v>0.79751117105175795</v>
      </c>
      <c r="AA19">
        <v>0.64537138140198869</v>
      </c>
      <c r="AB19">
        <v>0.24883754536144501</v>
      </c>
      <c r="AC19">
        <v>0.71204681771942457</v>
      </c>
      <c r="AD19">
        <v>3.9115636919130392E-2</v>
      </c>
      <c r="AE19">
        <v>0.1984507222028509</v>
      </c>
      <c r="AF19">
        <v>0.56786529144309594</v>
      </c>
      <c r="AG19">
        <v>3.1195157405811049E-2</v>
      </c>
      <c r="AH19">
        <v>0.63977871135168474</v>
      </c>
      <c r="AI19">
        <v>3.7521296769195647E-2</v>
      </c>
      <c r="AJ19">
        <v>0.72926825172260556</v>
      </c>
      <c r="AK19">
        <v>0.23321045150819869</v>
      </c>
      <c r="AL19">
        <v>2.9923653325781771E-2</v>
      </c>
      <c r="AM19">
        <v>0.5815995774421634</v>
      </c>
      <c r="AN19">
        <v>0.18598794028381271</v>
      </c>
      <c r="AO19">
        <v>0.69030874254022678</v>
      </c>
      <c r="AP19">
        <v>7.7733598583258311E-3</v>
      </c>
      <c r="AQ19">
        <v>5.6906314602489919E-2</v>
      </c>
      <c r="AR19">
        <v>0.67560106636605266</v>
      </c>
      <c r="AS19">
        <v>0.26749261903145732</v>
      </c>
      <c r="AT19">
        <v>4.5383421598871487E-2</v>
      </c>
      <c r="AU19">
        <v>0.53879939760140705</v>
      </c>
      <c r="AV19">
        <v>0.21332835185147919</v>
      </c>
      <c r="AW19">
        <v>0.56268708820716862</v>
      </c>
      <c r="AX19">
        <v>2.9274882473926012E-2</v>
      </c>
      <c r="AY19">
        <v>6.1779655862570247E-2</v>
      </c>
      <c r="AZ19">
        <v>0.74271775947964846</v>
      </c>
      <c r="BA19">
        <v>0.19550258465778139</v>
      </c>
      <c r="BB19">
        <v>4.9269965694133E-2</v>
      </c>
      <c r="BC19">
        <v>0.5923257101235524</v>
      </c>
      <c r="BD19">
        <v>0.15591549523407269</v>
      </c>
    </row>
    <row r="20" spans="1:56" x14ac:dyDescent="0.25">
      <c r="A20" t="s">
        <v>146</v>
      </c>
      <c r="B20" t="s">
        <v>217</v>
      </c>
      <c r="C20">
        <v>24.5</v>
      </c>
      <c r="D20">
        <v>24.5</v>
      </c>
      <c r="E20">
        <v>2024</v>
      </c>
      <c r="F20">
        <v>1</v>
      </c>
      <c r="G20">
        <v>31</v>
      </c>
      <c r="H20">
        <v>31</v>
      </c>
      <c r="I20" t="s">
        <v>143</v>
      </c>
      <c r="J20">
        <v>-59.887626733333299</v>
      </c>
      <c r="K20">
        <v>-66.136094683333297</v>
      </c>
      <c r="L20" t="s">
        <v>218</v>
      </c>
      <c r="M20">
        <v>1.0272779353225749</v>
      </c>
      <c r="N20">
        <v>1.9547570754768371</v>
      </c>
      <c r="O20">
        <v>4.4598766566836732</v>
      </c>
      <c r="P20">
        <v>3.678155399707117</v>
      </c>
      <c r="Q20">
        <v>0.53434024267640912</v>
      </c>
      <c r="R20">
        <v>0</v>
      </c>
      <c r="S20">
        <v>1.9400233568958971</v>
      </c>
      <c r="T20">
        <v>3.5299545726879919E-2</v>
      </c>
      <c r="U20">
        <v>0</v>
      </c>
      <c r="V20">
        <v>2.023825185152759E-2</v>
      </c>
      <c r="W20">
        <v>4.2955966013664533E-2</v>
      </c>
      <c r="X20">
        <v>0.31794020853247962</v>
      </c>
      <c r="Y20">
        <v>3.3874139035459452</v>
      </c>
      <c r="Z20">
        <v>3.705354112078425</v>
      </c>
      <c r="AA20">
        <v>3.286987011577728</v>
      </c>
      <c r="AB20">
        <v>0.229212874745161</v>
      </c>
      <c r="AC20">
        <v>0.75332956763758185</v>
      </c>
      <c r="AD20">
        <v>1.745755761725724E-2</v>
      </c>
      <c r="AE20">
        <v>0.84931486797829914</v>
      </c>
      <c r="AF20">
        <v>2.7913528111961758</v>
      </c>
      <c r="AG20">
        <v>6.4686432903950139E-2</v>
      </c>
      <c r="AH20">
        <v>3.1721087813928279</v>
      </c>
      <c r="AI20">
        <v>2.358211898336671E-2</v>
      </c>
      <c r="AJ20">
        <v>0.75574899285866093</v>
      </c>
      <c r="AK20">
        <v>0.22066888815797231</v>
      </c>
      <c r="AL20">
        <v>8.7380101546540523E-2</v>
      </c>
      <c r="AM20">
        <v>2.800317638387968</v>
      </c>
      <c r="AN20">
        <v>0.81765637214391684</v>
      </c>
      <c r="AO20">
        <v>3.4354940279075779</v>
      </c>
      <c r="AP20">
        <v>2.538822463288129E-2</v>
      </c>
      <c r="AQ20">
        <v>2.3489574510796141E-2</v>
      </c>
      <c r="AR20">
        <v>0.71873774295739712</v>
      </c>
      <c r="AS20">
        <v>0.2577726825318068</v>
      </c>
      <c r="AT20">
        <v>8.7037191504551054E-2</v>
      </c>
      <c r="AU20">
        <v>2.663177851373157</v>
      </c>
      <c r="AV20">
        <v>0.95513906920071667</v>
      </c>
      <c r="AW20">
        <v>2.7847666327524538</v>
      </c>
      <c r="AX20">
        <v>6.6552617477897522E-2</v>
      </c>
      <c r="AY20">
        <v>2.9573345491383511E-2</v>
      </c>
      <c r="AZ20">
        <v>0.75205147520068372</v>
      </c>
      <c r="BA20">
        <v>0.21837517930793271</v>
      </c>
      <c r="BB20">
        <v>0.10957971732441391</v>
      </c>
      <c r="BC20">
        <v>2.7866170261294991</v>
      </c>
      <c r="BD20">
        <v>0.80915736862451182</v>
      </c>
    </row>
    <row r="21" spans="1:56" x14ac:dyDescent="0.25">
      <c r="A21" t="s">
        <v>102</v>
      </c>
      <c r="B21" t="s">
        <v>17</v>
      </c>
      <c r="C21">
        <v>25</v>
      </c>
      <c r="D21">
        <v>25</v>
      </c>
      <c r="E21">
        <v>2024</v>
      </c>
      <c r="F21">
        <v>2</v>
      </c>
      <c r="G21">
        <v>1</v>
      </c>
      <c r="H21">
        <v>32</v>
      </c>
      <c r="I21" t="s">
        <v>101</v>
      </c>
      <c r="J21">
        <v>-60.479778216666602</v>
      </c>
      <c r="K21">
        <v>-66.056256733333299</v>
      </c>
      <c r="L21" t="s">
        <v>17</v>
      </c>
      <c r="M21" t="s">
        <v>138</v>
      </c>
      <c r="N21" t="s">
        <v>138</v>
      </c>
      <c r="O21" t="s">
        <v>138</v>
      </c>
      <c r="P21" t="s">
        <v>138</v>
      </c>
      <c r="Q21">
        <v>0.15867310529585349</v>
      </c>
      <c r="R21">
        <v>0</v>
      </c>
      <c r="S21">
        <v>0.355179439998487</v>
      </c>
      <c r="T21">
        <v>1.5756799742018289E-2</v>
      </c>
      <c r="U21">
        <v>0</v>
      </c>
      <c r="V21">
        <v>3.0270099963288681E-3</v>
      </c>
      <c r="W21">
        <v>1.6864435189442251E-2</v>
      </c>
      <c r="X21">
        <v>7.7423261474118668E-2</v>
      </c>
      <c r="Y21">
        <v>0.95808310904131988</v>
      </c>
      <c r="Z21">
        <v>1.035506370515439</v>
      </c>
      <c r="AA21">
        <v>0.69788254153415086</v>
      </c>
      <c r="AB21">
        <v>0.32058271292376961</v>
      </c>
      <c r="AC21">
        <v>0.65425446480443517</v>
      </c>
      <c r="AD21">
        <v>2.5162822271795091E-2</v>
      </c>
      <c r="AE21">
        <v>0.3319654415096856</v>
      </c>
      <c r="AF21">
        <v>0.67748466624316173</v>
      </c>
      <c r="AG21">
        <v>2.6056262762591591E-2</v>
      </c>
      <c r="AH21">
        <v>0.75320897955832111</v>
      </c>
      <c r="AI21">
        <v>3.5921818407014611E-2</v>
      </c>
      <c r="AJ21">
        <v>0.68810992632940993</v>
      </c>
      <c r="AK21">
        <v>0.27596825526357571</v>
      </c>
      <c r="AL21">
        <v>3.7197271800962391E-2</v>
      </c>
      <c r="AM21">
        <v>0.71254221232901338</v>
      </c>
      <c r="AN21">
        <v>0.28576688638546338</v>
      </c>
      <c r="AO21">
        <v>0.74810703906150444</v>
      </c>
      <c r="AP21">
        <v>5.8843936963557802E-3</v>
      </c>
      <c r="AQ21">
        <v>3.0646804793131231E-2</v>
      </c>
      <c r="AR21">
        <v>0.61398645715740974</v>
      </c>
      <c r="AS21">
        <v>0.35536673804945901</v>
      </c>
      <c r="AT21">
        <v>3.1734961599230477E-2</v>
      </c>
      <c r="AU21">
        <v>0.63578688779670245</v>
      </c>
      <c r="AV21">
        <v>0.36798452111950603</v>
      </c>
      <c r="AW21">
        <v>0.60736779031298704</v>
      </c>
      <c r="AX21">
        <v>2.3874669965910849E-2</v>
      </c>
      <c r="AY21">
        <v>4.2625159342290143E-2</v>
      </c>
      <c r="AZ21">
        <v>0.66885449314533629</v>
      </c>
      <c r="BA21">
        <v>0.28852034751237349</v>
      </c>
      <c r="BB21">
        <v>4.4138624043177123E-2</v>
      </c>
      <c r="BC21">
        <v>0.69260308859987074</v>
      </c>
      <c r="BD21">
        <v>0.29876465787239109</v>
      </c>
    </row>
    <row r="22" spans="1:56" x14ac:dyDescent="0.25">
      <c r="A22" t="s">
        <v>148</v>
      </c>
      <c r="B22" t="s">
        <v>219</v>
      </c>
      <c r="C22">
        <v>25</v>
      </c>
      <c r="D22">
        <v>25</v>
      </c>
      <c r="E22">
        <v>2024</v>
      </c>
      <c r="F22">
        <v>2</v>
      </c>
      <c r="G22">
        <v>2</v>
      </c>
      <c r="H22">
        <v>33</v>
      </c>
      <c r="I22" t="s">
        <v>147</v>
      </c>
      <c r="J22">
        <v>-60.388767616666598</v>
      </c>
      <c r="K22">
        <v>-66.12546725</v>
      </c>
      <c r="L22" t="s">
        <v>219</v>
      </c>
      <c r="M22">
        <v>1.130246333346961</v>
      </c>
      <c r="N22">
        <v>1.467303516219054</v>
      </c>
      <c r="O22">
        <v>3.6486506772792788</v>
      </c>
      <c r="P22">
        <v>2.877097133556084</v>
      </c>
      <c r="Q22">
        <v>0.24756862894010251</v>
      </c>
      <c r="R22">
        <v>0</v>
      </c>
      <c r="S22">
        <v>0.83292004269822173</v>
      </c>
      <c r="T22">
        <v>1.8946873533162611E-2</v>
      </c>
      <c r="U22">
        <v>0</v>
      </c>
      <c r="V22">
        <v>8.0858098898064102E-3</v>
      </c>
      <c r="W22">
        <v>2.3258629011454979E-2</v>
      </c>
      <c r="X22">
        <v>0.13949528711432721</v>
      </c>
      <c r="Y22">
        <v>1.769193971178207</v>
      </c>
      <c r="Z22">
        <v>1.9086892582925341</v>
      </c>
      <c r="AA22">
        <v>1.4416807157074489</v>
      </c>
      <c r="AB22">
        <v>0.2421283457580628</v>
      </c>
      <c r="AC22">
        <v>0.73833259220715597</v>
      </c>
      <c r="AD22">
        <v>1.9539062034781309E-2</v>
      </c>
      <c r="AE22">
        <v>0.4621477726765551</v>
      </c>
      <c r="AF22">
        <v>1.409247487793081</v>
      </c>
      <c r="AG22">
        <v>3.729399782289855E-2</v>
      </c>
      <c r="AH22">
        <v>1.416224022364351</v>
      </c>
      <c r="AI22">
        <v>2.7646365354158351E-2</v>
      </c>
      <c r="AJ22">
        <v>0.74335391511693638</v>
      </c>
      <c r="AK22">
        <v>0.2289997195289051</v>
      </c>
      <c r="AL22">
        <v>5.2768320582312907E-2</v>
      </c>
      <c r="AM22">
        <v>1.418831632893397</v>
      </c>
      <c r="AN22">
        <v>0.43708930481682429</v>
      </c>
      <c r="AO22">
        <v>1.5125927635205809</v>
      </c>
      <c r="AP22">
        <v>9.4914069018624432E-3</v>
      </c>
      <c r="AQ22">
        <v>2.550700803696105E-2</v>
      </c>
      <c r="AR22">
        <v>0.70062260441579538</v>
      </c>
      <c r="AS22">
        <v>0.27387038754724352</v>
      </c>
      <c r="AT22">
        <v>4.8684952251328878E-2</v>
      </c>
      <c r="AU22">
        <v>1.337270839165368</v>
      </c>
      <c r="AV22">
        <v>0.52273346687583711</v>
      </c>
      <c r="AW22">
        <v>1.22778272614205</v>
      </c>
      <c r="AX22">
        <v>3.3115215484148787E-2</v>
      </c>
      <c r="AY22">
        <v>3.3253952675185397E-2</v>
      </c>
      <c r="AZ22">
        <v>0.73967864235426728</v>
      </c>
      <c r="BA22">
        <v>0.2270674049705475</v>
      </c>
      <c r="BB22">
        <v>6.3471462266894665E-2</v>
      </c>
      <c r="BC22">
        <v>1.4118166792499951</v>
      </c>
      <c r="BD22">
        <v>0.43340111677564491</v>
      </c>
    </row>
    <row r="23" spans="1:56" x14ac:dyDescent="0.25">
      <c r="A23" t="s">
        <v>149</v>
      </c>
      <c r="B23" t="s">
        <v>219</v>
      </c>
      <c r="C23">
        <v>50</v>
      </c>
      <c r="D23">
        <v>50</v>
      </c>
      <c r="E23">
        <v>2024</v>
      </c>
      <c r="F23">
        <v>2</v>
      </c>
      <c r="G23">
        <v>2</v>
      </c>
      <c r="H23">
        <v>33</v>
      </c>
      <c r="I23" t="s">
        <v>147</v>
      </c>
      <c r="J23">
        <v>-60.388767616666598</v>
      </c>
      <c r="K23">
        <v>-66.12546725</v>
      </c>
      <c r="L23" t="s">
        <v>219</v>
      </c>
      <c r="M23" t="s">
        <v>138</v>
      </c>
      <c r="N23" t="s">
        <v>138</v>
      </c>
      <c r="O23" t="s">
        <v>138</v>
      </c>
      <c r="P23" t="s">
        <v>138</v>
      </c>
      <c r="Q23">
        <v>5.6978462725667429E-2</v>
      </c>
      <c r="R23">
        <v>0</v>
      </c>
      <c r="S23">
        <v>0.1901649944501673</v>
      </c>
      <c r="T23">
        <v>1.267712218613062E-2</v>
      </c>
      <c r="U23">
        <v>0</v>
      </c>
      <c r="V23">
        <v>6.083306372070215E-3</v>
      </c>
      <c r="W23">
        <v>1.411972521011589E-2</v>
      </c>
      <c r="X23">
        <v>5.3016808591782948E-2</v>
      </c>
      <c r="Y23">
        <v>0.34586571325799681</v>
      </c>
      <c r="Z23">
        <v>0.39888252184977968</v>
      </c>
      <c r="AA23">
        <v>0.34457327127653981</v>
      </c>
      <c r="AB23">
        <v>0.23315689039244691</v>
      </c>
      <c r="AC23">
        <v>0.7137713694556187</v>
      </c>
      <c r="AD23">
        <v>5.3071740151934568E-2</v>
      </c>
      <c r="AE23">
        <v>9.3002208426391897E-2</v>
      </c>
      <c r="AF23">
        <v>0.28471092387262797</v>
      </c>
      <c r="AG23">
        <v>2.1169389550759869E-2</v>
      </c>
      <c r="AH23">
        <v>0.34190740782201628</v>
      </c>
      <c r="AI23">
        <v>7.1133692215612318E-2</v>
      </c>
      <c r="AJ23">
        <v>0.71055636637042474</v>
      </c>
      <c r="AK23">
        <v>0.21830994141396301</v>
      </c>
      <c r="AL23">
        <v>2.8373986539449478E-2</v>
      </c>
      <c r="AM23">
        <v>0.28342851533425101</v>
      </c>
      <c r="AN23">
        <v>8.7080019976079212E-2</v>
      </c>
      <c r="AO23">
        <v>0.3674323350240461</v>
      </c>
      <c r="AP23">
        <v>3.7673369284763189E-3</v>
      </c>
      <c r="AQ23">
        <v>6.9435368444467085E-2</v>
      </c>
      <c r="AR23">
        <v>0.67857984398627003</v>
      </c>
      <c r="AS23">
        <v>0.25198478756926301</v>
      </c>
      <c r="AT23">
        <v>2.7696554870697641E-2</v>
      </c>
      <c r="AU23">
        <v>0.27067363944567352</v>
      </c>
      <c r="AV23">
        <v>0.10051232753340859</v>
      </c>
      <c r="AW23">
        <v>0.30476031019572808</v>
      </c>
      <c r="AX23">
        <v>1.7514336512978821E-2</v>
      </c>
      <c r="AY23">
        <v>8.6378617030727911E-2</v>
      </c>
      <c r="AZ23">
        <v>0.74528133880949832</v>
      </c>
      <c r="BA23">
        <v>0.16834004415977369</v>
      </c>
      <c r="BB23">
        <v>3.4454920595113077E-2</v>
      </c>
      <c r="BC23">
        <v>0.29727969991191278</v>
      </c>
      <c r="BD23">
        <v>6.7147901342753807E-2</v>
      </c>
    </row>
    <row r="24" spans="1:56" x14ac:dyDescent="0.25">
      <c r="A24" t="s">
        <v>151</v>
      </c>
      <c r="B24" t="s">
        <v>220</v>
      </c>
      <c r="C24">
        <v>20</v>
      </c>
      <c r="D24">
        <v>20</v>
      </c>
      <c r="E24">
        <v>2024</v>
      </c>
      <c r="F24">
        <v>2</v>
      </c>
      <c r="G24">
        <v>2</v>
      </c>
      <c r="H24">
        <v>33</v>
      </c>
      <c r="I24" t="s">
        <v>150</v>
      </c>
      <c r="J24">
        <v>-60.332565316666603</v>
      </c>
      <c r="K24">
        <v>-66.067300916666596</v>
      </c>
      <c r="L24" t="s">
        <v>220</v>
      </c>
      <c r="M24">
        <v>1.1194673999742699</v>
      </c>
      <c r="N24">
        <v>1.5084829212517969</v>
      </c>
      <c r="O24">
        <v>3.72346490892695</v>
      </c>
      <c r="P24">
        <v>2.9401381372465289</v>
      </c>
      <c r="Q24">
        <v>0.19947229137036929</v>
      </c>
      <c r="R24">
        <v>0</v>
      </c>
      <c r="S24">
        <v>0.71814840002997771</v>
      </c>
      <c r="T24">
        <v>1.6671610969911831E-2</v>
      </c>
      <c r="U24">
        <v>0</v>
      </c>
      <c r="V24">
        <v>1.244516720593007E-2</v>
      </c>
      <c r="W24">
        <v>2.5997623552641461E-2</v>
      </c>
      <c r="X24">
        <v>0.111772075533677</v>
      </c>
      <c r="Y24">
        <v>1.3155271910259061</v>
      </c>
      <c r="Z24">
        <v>1.4272992665595829</v>
      </c>
      <c r="AA24">
        <v>1.2340670378430221</v>
      </c>
      <c r="AB24">
        <v>0.22790976681770619</v>
      </c>
      <c r="AC24">
        <v>0.74378741488944866</v>
      </c>
      <c r="AD24">
        <v>2.8302818292845401E-2</v>
      </c>
      <c r="AE24">
        <v>0.3252954430206777</v>
      </c>
      <c r="AF24">
        <v>1.0616072317479579</v>
      </c>
      <c r="AG24">
        <v>4.0396591790947393E-2</v>
      </c>
      <c r="AH24">
        <v>1.198621356390037</v>
      </c>
      <c r="AI24">
        <v>3.7848162928977497E-2</v>
      </c>
      <c r="AJ24">
        <v>0.74414412320700174</v>
      </c>
      <c r="AK24">
        <v>0.21800771386402079</v>
      </c>
      <c r="AL24">
        <v>5.4020655189157191E-2</v>
      </c>
      <c r="AM24">
        <v>1.062116361267978</v>
      </c>
      <c r="AN24">
        <v>0.3111622501024483</v>
      </c>
      <c r="AO24">
        <v>1.295945115176369</v>
      </c>
      <c r="AP24">
        <v>7.8148451952909075E-3</v>
      </c>
      <c r="AQ24">
        <v>3.7956797356042543E-2</v>
      </c>
      <c r="AR24">
        <v>0.70471443737502737</v>
      </c>
      <c r="AS24">
        <v>0.25732876526893</v>
      </c>
      <c r="AT24">
        <v>5.4175709027230227E-2</v>
      </c>
      <c r="AU24">
        <v>1.0058383995993261</v>
      </c>
      <c r="AV24">
        <v>0.36728515793302691</v>
      </c>
      <c r="AW24">
        <v>1.0555961474655871</v>
      </c>
      <c r="AX24">
        <v>2.8835253371199319E-2</v>
      </c>
      <c r="AY24">
        <v>4.7461408208517138E-2</v>
      </c>
      <c r="AZ24">
        <v>0.74239368937637373</v>
      </c>
      <c r="BA24">
        <v>0.21014490241510911</v>
      </c>
      <c r="BB24">
        <v>6.7741633125901479E-2</v>
      </c>
      <c r="BC24">
        <v>1.059617968345361</v>
      </c>
      <c r="BD24">
        <v>0.29993966508832037</v>
      </c>
    </row>
    <row r="25" spans="1:56" x14ac:dyDescent="0.25">
      <c r="A25" t="s">
        <v>105</v>
      </c>
      <c r="B25" t="s">
        <v>20</v>
      </c>
      <c r="C25">
        <v>75</v>
      </c>
      <c r="D25">
        <v>75</v>
      </c>
      <c r="E25">
        <v>2024</v>
      </c>
      <c r="F25">
        <v>2</v>
      </c>
      <c r="G25">
        <v>3</v>
      </c>
      <c r="H25">
        <v>34</v>
      </c>
      <c r="I25" t="s">
        <v>104</v>
      </c>
      <c r="J25">
        <v>-59.297000466666603</v>
      </c>
      <c r="K25">
        <v>-65.626435333333305</v>
      </c>
      <c r="L25" t="s">
        <v>20</v>
      </c>
      <c r="M25" t="s">
        <v>138</v>
      </c>
      <c r="N25" t="s">
        <v>138</v>
      </c>
      <c r="O25" t="s">
        <v>138</v>
      </c>
      <c r="P25" t="s">
        <v>138</v>
      </c>
      <c r="Q25">
        <v>8.2246312043154513E-3</v>
      </c>
      <c r="R25">
        <v>1.599794373980831E-3</v>
      </c>
      <c r="S25">
        <v>3.615015994043138E-2</v>
      </c>
      <c r="T25">
        <v>8.0905975056045701E-3</v>
      </c>
      <c r="U25">
        <v>0</v>
      </c>
      <c r="V25">
        <v>2.4070135632856772E-3</v>
      </c>
      <c r="W25">
        <v>1.8565195504988349E-3</v>
      </c>
      <c r="X25">
        <v>9.5623878671717358E-3</v>
      </c>
      <c r="Y25">
        <v>6.0731327093581429E-2</v>
      </c>
      <c r="Z25">
        <v>7.0293714960753165E-2</v>
      </c>
      <c r="AA25">
        <v>6.6622542829054734E-2</v>
      </c>
      <c r="AB25">
        <v>0.20792421719689411</v>
      </c>
      <c r="AC25">
        <v>0.73162041227361296</v>
      </c>
      <c r="AD25">
        <v>6.0455370529493173E-2</v>
      </c>
      <c r="AE25">
        <v>1.461576565707621E-2</v>
      </c>
      <c r="AF25">
        <v>5.1428316719830072E-2</v>
      </c>
      <c r="AG25">
        <v>4.2496325838469098E-3</v>
      </c>
      <c r="AH25">
        <v>6.0195403943383241E-2</v>
      </c>
      <c r="AI25">
        <v>6.5672889166433435E-2</v>
      </c>
      <c r="AJ25">
        <v>0.74656860635210831</v>
      </c>
      <c r="AK25">
        <v>0.18775850448145831</v>
      </c>
      <c r="AL25">
        <v>4.6163913517144059E-3</v>
      </c>
      <c r="AM25">
        <v>5.2479080813561833E-2</v>
      </c>
      <c r="AN25">
        <v>1.3198242795476919E-2</v>
      </c>
      <c r="AO25">
        <v>7.2233837173344473E-2</v>
      </c>
      <c r="AP25">
        <v>1.3374318481634911E-3</v>
      </c>
      <c r="AQ25">
        <v>0.16133661395339449</v>
      </c>
      <c r="AR25">
        <v>0.639097436177964</v>
      </c>
      <c r="AS25">
        <v>0.19956594986864151</v>
      </c>
      <c r="AT25">
        <v>1.134094995397298E-2</v>
      </c>
      <c r="AU25">
        <v>4.4924533010841941E-2</v>
      </c>
      <c r="AV25">
        <v>1.402823199593824E-2</v>
      </c>
      <c r="AW25">
        <v>6.1221949723321123E-2</v>
      </c>
      <c r="AX25">
        <v>8.2246312043154513E-3</v>
      </c>
      <c r="AY25">
        <v>0.16400051167154289</v>
      </c>
      <c r="AZ25">
        <v>0.81222022473260991</v>
      </c>
      <c r="BA25">
        <v>2.3779263595847189E-2</v>
      </c>
      <c r="BB25">
        <v>1.152820522085711E-2</v>
      </c>
      <c r="BC25">
        <v>5.7093976962712963E-2</v>
      </c>
      <c r="BD25">
        <v>1.6715327771830971E-3</v>
      </c>
    </row>
    <row r="26" spans="1:56" x14ac:dyDescent="0.25">
      <c r="A26" t="s">
        <v>106</v>
      </c>
      <c r="B26" t="s">
        <v>20</v>
      </c>
      <c r="C26">
        <v>50</v>
      </c>
      <c r="D26">
        <v>50</v>
      </c>
      <c r="E26">
        <v>2024</v>
      </c>
      <c r="F26">
        <v>2</v>
      </c>
      <c r="G26">
        <v>3</v>
      </c>
      <c r="H26">
        <v>34</v>
      </c>
      <c r="I26" t="s">
        <v>104</v>
      </c>
      <c r="J26">
        <v>-59.297000466666603</v>
      </c>
      <c r="K26">
        <v>-65.626435333333305</v>
      </c>
      <c r="L26" t="s">
        <v>20</v>
      </c>
      <c r="M26">
        <v>2.500490946319216</v>
      </c>
      <c r="N26">
        <v>0.28607310870279351</v>
      </c>
      <c r="O26">
        <v>0.63222921870360149</v>
      </c>
      <c r="P26">
        <v>0.75010380425240719</v>
      </c>
      <c r="Q26">
        <v>1.9404475140892819E-2</v>
      </c>
      <c r="R26">
        <v>0</v>
      </c>
      <c r="S26">
        <v>0.19693998946167679</v>
      </c>
      <c r="T26">
        <v>2.9125973189813189E-2</v>
      </c>
      <c r="U26">
        <v>0</v>
      </c>
      <c r="V26">
        <v>1.0779421567312771E-2</v>
      </c>
      <c r="W26">
        <v>6.6405871095209287E-3</v>
      </c>
      <c r="X26">
        <v>2.9113470512954841E-2</v>
      </c>
      <c r="Y26">
        <v>0.28006918596200331</v>
      </c>
      <c r="Z26">
        <v>0.30918265647495807</v>
      </c>
      <c r="AA26">
        <v>0.30426630787859699</v>
      </c>
      <c r="AB26">
        <v>8.992224653271734E-2</v>
      </c>
      <c r="AC26">
        <v>0.85552645985577758</v>
      </c>
      <c r="AD26">
        <v>5.4551293611504917E-2</v>
      </c>
      <c r="AE26">
        <v>2.780239905918163E-2</v>
      </c>
      <c r="AF26">
        <v>0.26451394354282592</v>
      </c>
      <c r="AG26">
        <v>1.6866313872950501E-2</v>
      </c>
      <c r="AH26">
        <v>0.24240386438054379</v>
      </c>
      <c r="AI26">
        <v>6.2540341845827477E-2</v>
      </c>
      <c r="AJ26">
        <v>0.83259391065658483</v>
      </c>
      <c r="AK26">
        <v>0.1048657474975877</v>
      </c>
      <c r="AL26">
        <v>1.9336389028744919E-2</v>
      </c>
      <c r="AM26">
        <v>0.25742359706167678</v>
      </c>
      <c r="AN26">
        <v>3.2422670384536341E-2</v>
      </c>
      <c r="AO26">
        <v>0.32008223991574852</v>
      </c>
      <c r="AP26">
        <v>9.9955990911001595E-3</v>
      </c>
      <c r="AQ26">
        <v>8.1521489572763589E-2</v>
      </c>
      <c r="AR26">
        <v>0.86733089183100165</v>
      </c>
      <c r="AS26">
        <v>5.114761859623481E-2</v>
      </c>
      <c r="AT26">
        <v>2.5205030705902642E-2</v>
      </c>
      <c r="AU26">
        <v>0.26816366917910361</v>
      </c>
      <c r="AV26">
        <v>1.5813956589951841E-2</v>
      </c>
      <c r="AW26">
        <v>0.27274171044527468</v>
      </c>
      <c r="AX26">
        <v>1.9404475140892819E-2</v>
      </c>
      <c r="AY26">
        <v>8.342620370903063E-2</v>
      </c>
      <c r="AZ26">
        <v>0.91657379629096936</v>
      </c>
      <c r="BA26">
        <v>0</v>
      </c>
      <c r="BB26">
        <v>2.5793935282379089E-2</v>
      </c>
      <c r="BC26">
        <v>0.28338872119257902</v>
      </c>
      <c r="BD26">
        <v>0</v>
      </c>
    </row>
    <row r="27" spans="1:56" x14ac:dyDescent="0.25">
      <c r="A27" t="s">
        <v>108</v>
      </c>
      <c r="B27" t="s">
        <v>21</v>
      </c>
      <c r="C27">
        <v>20</v>
      </c>
      <c r="D27">
        <v>20</v>
      </c>
      <c r="E27">
        <v>2024</v>
      </c>
      <c r="F27">
        <v>2</v>
      </c>
      <c r="G27">
        <v>4</v>
      </c>
      <c r="H27">
        <v>35</v>
      </c>
      <c r="I27" t="s">
        <v>107</v>
      </c>
      <c r="J27">
        <v>-58.257505199999997</v>
      </c>
      <c r="K27">
        <v>-64.588933483333307</v>
      </c>
      <c r="L27" t="s">
        <v>21</v>
      </c>
      <c r="M27" t="s">
        <v>138</v>
      </c>
      <c r="N27" t="s">
        <v>138</v>
      </c>
      <c r="O27" t="s">
        <v>138</v>
      </c>
      <c r="P27" t="s">
        <v>138</v>
      </c>
      <c r="Q27">
        <v>0.1728930428677887</v>
      </c>
      <c r="R27">
        <v>3.6563777584708379E-3</v>
      </c>
      <c r="S27">
        <v>3.165813014537789E-2</v>
      </c>
      <c r="T27">
        <v>1.5675364788664901E-2</v>
      </c>
      <c r="U27">
        <v>1.0733369115438511E-2</v>
      </c>
      <c r="V27">
        <v>2.7640071869266879E-2</v>
      </c>
      <c r="W27">
        <v>1.7120307684485221E-3</v>
      </c>
      <c r="X27">
        <v>2.8598203665403481E-2</v>
      </c>
      <c r="Y27">
        <v>0.47360990551743559</v>
      </c>
      <c r="Z27">
        <v>0.50220810918283909</v>
      </c>
      <c r="AA27">
        <v>0.33045572656177691</v>
      </c>
      <c r="AB27">
        <v>0.75330721507859522</v>
      </c>
      <c r="AC27">
        <v>0.1577585747184197</v>
      </c>
      <c r="AD27">
        <v>8.8934210202985226E-2</v>
      </c>
      <c r="AE27">
        <v>0.37831699211841158</v>
      </c>
      <c r="AF27">
        <v>7.9227635516717188E-2</v>
      </c>
      <c r="AG27">
        <v>4.4663481547710368E-2</v>
      </c>
      <c r="AH27">
        <v>0.54226881297117691</v>
      </c>
      <c r="AI27">
        <v>2.8755333468579919E-2</v>
      </c>
      <c r="AJ27">
        <v>0.5513486935922548</v>
      </c>
      <c r="AK27">
        <v>0.41989597293916531</v>
      </c>
      <c r="AL27">
        <v>1.4441161650177531E-2</v>
      </c>
      <c r="AM27">
        <v>0.27689178490939481</v>
      </c>
      <c r="AN27">
        <v>0.2108751626232668</v>
      </c>
      <c r="AO27">
        <v>0.42413969036651561</v>
      </c>
      <c r="AP27">
        <v>2.7644129064846772E-3</v>
      </c>
      <c r="AQ27">
        <v>0.12019587198365669</v>
      </c>
      <c r="AR27">
        <v>0.16876124008256749</v>
      </c>
      <c r="AS27">
        <v>0.71104288793377579</v>
      </c>
      <c r="AT27">
        <v>6.0363341600494828E-2</v>
      </c>
      <c r="AU27">
        <v>8.4753263285217401E-2</v>
      </c>
      <c r="AV27">
        <v>0.35709150429712688</v>
      </c>
      <c r="AW27">
        <v>0.32884087609574869</v>
      </c>
      <c r="AX27">
        <v>1.465656032542598E-2</v>
      </c>
      <c r="AY27">
        <v>0.1168776053757131</v>
      </c>
      <c r="AZ27">
        <v>0.24745102205314931</v>
      </c>
      <c r="BA27">
        <v>0.63567137257113759</v>
      </c>
      <c r="BB27">
        <v>5.8696881201554911E-2</v>
      </c>
      <c r="BC27">
        <v>0.12427190990067311</v>
      </c>
      <c r="BD27">
        <v>0.31923931808061112</v>
      </c>
    </row>
    <row r="28" spans="1:56" x14ac:dyDescent="0.25">
      <c r="A28" t="s">
        <v>113</v>
      </c>
      <c r="B28" t="s">
        <v>23</v>
      </c>
      <c r="C28">
        <v>85</v>
      </c>
      <c r="D28">
        <v>85</v>
      </c>
      <c r="E28">
        <v>2024</v>
      </c>
      <c r="F28">
        <v>2</v>
      </c>
      <c r="G28">
        <v>9</v>
      </c>
      <c r="H28">
        <v>40</v>
      </c>
      <c r="I28" t="s">
        <v>112</v>
      </c>
      <c r="J28">
        <v>-49.607163149999998</v>
      </c>
      <c r="K28">
        <v>-64.531433533333299</v>
      </c>
      <c r="L28" t="s">
        <v>221</v>
      </c>
      <c r="M28" t="s">
        <v>138</v>
      </c>
      <c r="N28" t="s">
        <v>138</v>
      </c>
      <c r="O28" t="s">
        <v>138</v>
      </c>
      <c r="P28" t="s">
        <v>138</v>
      </c>
      <c r="Q28">
        <v>6.4122923760538783E-2</v>
      </c>
      <c r="R28">
        <v>3.0385271862579909E-3</v>
      </c>
      <c r="S28">
        <v>5.4027937876548637E-2</v>
      </c>
      <c r="T28">
        <v>2.9288191222014041E-2</v>
      </c>
      <c r="U28">
        <v>3.0492065378592082E-3</v>
      </c>
      <c r="V28">
        <v>7.3846397714821835E-2</v>
      </c>
      <c r="W28">
        <v>1.151856900141614E-3</v>
      </c>
      <c r="X28">
        <v>2.1068392299271699E-2</v>
      </c>
      <c r="Y28">
        <v>0.26217872834910899</v>
      </c>
      <c r="Z28">
        <v>0.2832471206483807</v>
      </c>
      <c r="AA28">
        <v>0.2509689764147125</v>
      </c>
      <c r="AB28">
        <v>0.37732809524034872</v>
      </c>
      <c r="AC28">
        <v>0.32153723980724891</v>
      </c>
      <c r="AD28">
        <v>0.30113466495240249</v>
      </c>
      <c r="AE28">
        <v>0.1068770965165667</v>
      </c>
      <c r="AF28">
        <v>9.1074497356631146E-2</v>
      </c>
      <c r="AG28">
        <v>8.5295526775182845E-2</v>
      </c>
      <c r="AH28">
        <v>0.29823356369116549</v>
      </c>
      <c r="AI28">
        <v>0.1222485791436141</v>
      </c>
      <c r="AJ28">
        <v>0.59272735097739615</v>
      </c>
      <c r="AK28">
        <v>0.28502406987898982</v>
      </c>
      <c r="AL28">
        <v>3.4626558045784371E-2</v>
      </c>
      <c r="AM28">
        <v>0.16788831549388961</v>
      </c>
      <c r="AN28">
        <v>8.0732247108706717E-2</v>
      </c>
      <c r="AO28">
        <v>0.33730671942064011</v>
      </c>
      <c r="AP28">
        <v>6.7371320704560618E-3</v>
      </c>
      <c r="AQ28">
        <v>0.39324600273709681</v>
      </c>
      <c r="AR28">
        <v>0.29703636387779281</v>
      </c>
      <c r="AS28">
        <v>0.30971763338511038</v>
      </c>
      <c r="AT28">
        <v>0.1113857979817679</v>
      </c>
      <c r="AU28">
        <v>8.4134694796249479E-2</v>
      </c>
      <c r="AV28">
        <v>8.7726627870363297E-2</v>
      </c>
      <c r="AW28">
        <v>0.26836459950150182</v>
      </c>
      <c r="AX28">
        <v>2.774676443116085E-2</v>
      </c>
      <c r="AY28">
        <v>0.36605496834932211</v>
      </c>
      <c r="AZ28">
        <v>0.44742986921620048</v>
      </c>
      <c r="BA28">
        <v>0.18651516243447741</v>
      </c>
      <c r="BB28">
        <v>0.10368401578397959</v>
      </c>
      <c r="BC28">
        <v>0.1267332221475703</v>
      </c>
      <c r="BD28">
        <v>5.2829882716830763E-2</v>
      </c>
    </row>
    <row r="29" spans="1:56" x14ac:dyDescent="0.25">
      <c r="A29" t="s">
        <v>114</v>
      </c>
      <c r="B29" t="s">
        <v>23</v>
      </c>
      <c r="C29">
        <v>20</v>
      </c>
      <c r="D29">
        <v>20</v>
      </c>
      <c r="E29">
        <v>2024</v>
      </c>
      <c r="F29">
        <v>2</v>
      </c>
      <c r="G29">
        <v>9</v>
      </c>
      <c r="H29">
        <v>40</v>
      </c>
      <c r="I29" t="s">
        <v>112</v>
      </c>
      <c r="J29">
        <v>-49.607163149999998</v>
      </c>
      <c r="K29">
        <v>-64.531433533333299</v>
      </c>
      <c r="L29" t="s">
        <v>221</v>
      </c>
      <c r="M29" t="s">
        <v>138</v>
      </c>
      <c r="N29" t="s">
        <v>138</v>
      </c>
      <c r="O29" t="s">
        <v>138</v>
      </c>
      <c r="P29" t="s">
        <v>138</v>
      </c>
      <c r="Q29">
        <v>4.890146725477456E-2</v>
      </c>
      <c r="R29">
        <v>1.7083310548023809E-3</v>
      </c>
      <c r="S29">
        <v>2.85592918759894E-2</v>
      </c>
      <c r="T29">
        <v>5.1214170190967854E-3</v>
      </c>
      <c r="U29">
        <v>2.851246959309218E-3</v>
      </c>
      <c r="V29">
        <v>9.9894765603905922E-3</v>
      </c>
      <c r="W29">
        <v>2.659511733926171E-3</v>
      </c>
      <c r="X29">
        <v>4.7747329372055607E-2</v>
      </c>
      <c r="Y29">
        <v>0.13142889200066379</v>
      </c>
      <c r="Z29">
        <v>0.17917622137271941</v>
      </c>
      <c r="AA29">
        <v>0.12350991184845039</v>
      </c>
      <c r="AB29">
        <v>0.57776590193071842</v>
      </c>
      <c r="AC29">
        <v>0.32202714923462178</v>
      </c>
      <c r="AD29">
        <v>0.10020694883465971</v>
      </c>
      <c r="AE29">
        <v>0.1035219111459473</v>
      </c>
      <c r="AF29">
        <v>5.7699607779288349E-2</v>
      </c>
      <c r="AG29">
        <v>1.7954702447483751E-2</v>
      </c>
      <c r="AH29">
        <v>0.17618328290687049</v>
      </c>
      <c r="AI29">
        <v>4.9593308030081128E-2</v>
      </c>
      <c r="AJ29">
        <v>0.58360304133071661</v>
      </c>
      <c r="AK29">
        <v>0.36680365063920217</v>
      </c>
      <c r="AL29">
        <v>8.8859415382032785E-3</v>
      </c>
      <c r="AM29">
        <v>0.1045677877272648</v>
      </c>
      <c r="AN29">
        <v>6.5722492107251312E-2</v>
      </c>
      <c r="AO29">
        <v>0.1514808726425001</v>
      </c>
      <c r="AP29">
        <v>7.3143252367978092E-4</v>
      </c>
      <c r="AQ29">
        <v>0.13564194688309231</v>
      </c>
      <c r="AR29">
        <v>0.29390633780799907</v>
      </c>
      <c r="AS29">
        <v>0.5704517153089087</v>
      </c>
      <c r="AT29">
        <v>2.43038115021516E-2</v>
      </c>
      <c r="AU29">
        <v>5.2661027045931313E-2</v>
      </c>
      <c r="AV29">
        <v>0.1022113828246365</v>
      </c>
      <c r="AW29">
        <v>0.1195621030433561</v>
      </c>
      <c r="AX29">
        <v>5.547931705297585E-3</v>
      </c>
      <c r="AY29">
        <v>0.13836808760562369</v>
      </c>
      <c r="AZ29">
        <v>0.37724617477324102</v>
      </c>
      <c r="BA29">
        <v>0.4843857376211354</v>
      </c>
      <c r="BB29">
        <v>2.4792271095745059E-2</v>
      </c>
      <c r="BC29">
        <v>6.7593544123181831E-2</v>
      </c>
      <c r="BD29">
        <v>8.6790406153792535E-2</v>
      </c>
    </row>
    <row r="30" spans="1:56" x14ac:dyDescent="0.25">
      <c r="A30" t="s">
        <v>117</v>
      </c>
      <c r="B30" t="s">
        <v>26</v>
      </c>
      <c r="C30">
        <v>20</v>
      </c>
      <c r="D30">
        <v>20</v>
      </c>
      <c r="E30">
        <v>2024</v>
      </c>
      <c r="F30">
        <v>2</v>
      </c>
      <c r="G30">
        <v>10</v>
      </c>
      <c r="H30">
        <v>41</v>
      </c>
      <c r="I30" t="s">
        <v>115</v>
      </c>
      <c r="J30">
        <v>-50.857675350000001</v>
      </c>
      <c r="K30">
        <v>-64.452340500000005</v>
      </c>
      <c r="L30" t="s">
        <v>26</v>
      </c>
      <c r="M30" t="s">
        <v>138</v>
      </c>
      <c r="N30" t="s">
        <v>138</v>
      </c>
      <c r="O30" t="s">
        <v>138</v>
      </c>
      <c r="P30" t="s">
        <v>138</v>
      </c>
      <c r="Q30">
        <v>3.2384928361140278E-2</v>
      </c>
      <c r="R30">
        <v>1.651698287025364E-3</v>
      </c>
      <c r="S30">
        <v>5.3478511205380483E-2</v>
      </c>
      <c r="T30">
        <v>9.5409265119507387E-3</v>
      </c>
      <c r="U30">
        <v>3.4960759511954631E-3</v>
      </c>
      <c r="V30">
        <v>2.6512259183838639E-2</v>
      </c>
      <c r="W30">
        <v>2.9645968824653702E-3</v>
      </c>
      <c r="X30">
        <v>3.6423651036719663E-2</v>
      </c>
      <c r="Y30">
        <v>0.17025281968877551</v>
      </c>
      <c r="Z30">
        <v>0.20667647072549519</v>
      </c>
      <c r="AA30">
        <v>0.15067325774924401</v>
      </c>
      <c r="AB30">
        <v>0.3185146740092592</v>
      </c>
      <c r="AC30">
        <v>0.48684604140445947</v>
      </c>
      <c r="AD30">
        <v>0.19463928458628141</v>
      </c>
      <c r="AE30">
        <v>6.5829488698515307E-2</v>
      </c>
      <c r="AF30">
        <v>0.100619621624152</v>
      </c>
      <c r="AG30">
        <v>4.0227360402827921E-2</v>
      </c>
      <c r="AH30">
        <v>0.1722124101990537</v>
      </c>
      <c r="AI30">
        <v>9.8523382014920294E-2</v>
      </c>
      <c r="AJ30">
        <v>0.6519631448379033</v>
      </c>
      <c r="AK30">
        <v>0.24951347314717659</v>
      </c>
      <c r="AL30">
        <v>2.0362464878783449E-2</v>
      </c>
      <c r="AM30">
        <v>0.1347454418181927</v>
      </c>
      <c r="AN30">
        <v>5.1568564028519073E-2</v>
      </c>
      <c r="AO30">
        <v>0.18684931600000809</v>
      </c>
      <c r="AP30">
        <v>1.8283554239501901E-3</v>
      </c>
      <c r="AQ30">
        <v>0.26906709203578022</v>
      </c>
      <c r="AR30">
        <v>0.43294402848131669</v>
      </c>
      <c r="AS30">
        <v>0.29798887948290309</v>
      </c>
      <c r="AT30">
        <v>5.5609836970327037E-2</v>
      </c>
      <c r="AU30">
        <v>8.9479343828196806E-2</v>
      </c>
      <c r="AV30">
        <v>6.1587289926971343E-2</v>
      </c>
      <c r="AW30">
        <v>0.15015385047990951</v>
      </c>
      <c r="AX30">
        <v>1.067303244925172E-2</v>
      </c>
      <c r="AY30">
        <v>0.25697000346452159</v>
      </c>
      <c r="AZ30">
        <v>0.54504299832242975</v>
      </c>
      <c r="BA30">
        <v>0.1979869982130486</v>
      </c>
      <c r="BB30">
        <v>5.3109653398365597E-2</v>
      </c>
      <c r="BC30">
        <v>0.1126475632869218</v>
      </c>
      <c r="BD30">
        <v>4.0919254040207811E-2</v>
      </c>
    </row>
    <row r="31" spans="1:56" x14ac:dyDescent="0.25">
      <c r="A31" t="s">
        <v>116</v>
      </c>
      <c r="B31" t="s">
        <v>26</v>
      </c>
      <c r="C31">
        <v>70</v>
      </c>
      <c r="D31">
        <v>70</v>
      </c>
      <c r="E31">
        <v>2024</v>
      </c>
      <c r="F31">
        <v>2</v>
      </c>
      <c r="G31">
        <v>10</v>
      </c>
      <c r="H31">
        <v>41</v>
      </c>
      <c r="I31" t="s">
        <v>115</v>
      </c>
      <c r="J31">
        <v>-50.857675350000001</v>
      </c>
      <c r="K31">
        <v>-64.452340500000005</v>
      </c>
      <c r="L31" t="s">
        <v>26</v>
      </c>
      <c r="M31" t="s">
        <v>138</v>
      </c>
      <c r="N31" t="s">
        <v>138</v>
      </c>
      <c r="O31" t="s">
        <v>138</v>
      </c>
      <c r="P31" t="s">
        <v>138</v>
      </c>
      <c r="Q31">
        <v>3.0514652251510281E-2</v>
      </c>
      <c r="R31">
        <v>4.0195178443482721E-3</v>
      </c>
      <c r="S31">
        <v>4.2299705347837543E-2</v>
      </c>
      <c r="T31">
        <v>2.5782253384107029E-2</v>
      </c>
      <c r="U31">
        <v>2.6764510738390458E-3</v>
      </c>
      <c r="V31">
        <v>7.0696220017753969E-2</v>
      </c>
      <c r="W31">
        <v>1.3825967875449991E-3</v>
      </c>
      <c r="X31">
        <v>1.151874427541996E-2</v>
      </c>
      <c r="Y31">
        <v>0.20678394882540421</v>
      </c>
      <c r="Z31">
        <v>0.2183026931008242</v>
      </c>
      <c r="AA31">
        <v>0.1856356804108753</v>
      </c>
      <c r="AB31">
        <v>0.26230506833269268</v>
      </c>
      <c r="AC31">
        <v>0.34664825737199523</v>
      </c>
      <c r="AD31">
        <v>0.39104667429531209</v>
      </c>
      <c r="AE31">
        <v>5.7261902831022532E-2</v>
      </c>
      <c r="AF31">
        <v>7.5674248143014197E-2</v>
      </c>
      <c r="AG31">
        <v>8.5366542126787473E-2</v>
      </c>
      <c r="AH31">
        <v>0.1976767208748075</v>
      </c>
      <c r="AI31">
        <v>0.17871993408767209</v>
      </c>
      <c r="AJ31">
        <v>0.6123498734478855</v>
      </c>
      <c r="AK31">
        <v>0.20893019246444239</v>
      </c>
      <c r="AL31">
        <v>3.9015042922140621E-2</v>
      </c>
      <c r="AM31">
        <v>0.1336776264936223</v>
      </c>
      <c r="AN31">
        <v>4.5610023685061313E-2</v>
      </c>
      <c r="AO31">
        <v>0.25782476221422029</v>
      </c>
      <c r="AP31">
        <v>5.3863775071650776E-3</v>
      </c>
      <c r="AQ31">
        <v>0.49365767352050299</v>
      </c>
      <c r="AR31">
        <v>0.31306040603631968</v>
      </c>
      <c r="AS31">
        <v>0.1932819204431773</v>
      </c>
      <c r="AT31">
        <v>0.10776679959941329</v>
      </c>
      <c r="AU31">
        <v>6.8341929740966104E-2</v>
      </c>
      <c r="AV31">
        <v>4.2193963760444847E-2</v>
      </c>
      <c r="AW31">
        <v>0.20630570216029101</v>
      </c>
      <c r="AX31">
        <v>2.370774295469124E-2</v>
      </c>
      <c r="AY31">
        <v>0.4576190723691872</v>
      </c>
      <c r="AZ31">
        <v>0.48175854447193878</v>
      </c>
      <c r="BA31">
        <v>6.0622383158873923E-2</v>
      </c>
      <c r="BB31">
        <v>9.989947591249454E-2</v>
      </c>
      <c r="BC31">
        <v>0.1051691876825574</v>
      </c>
      <c r="BD31">
        <v>1.3234029505772229E-2</v>
      </c>
    </row>
    <row r="32" spans="1:56" x14ac:dyDescent="0.25">
      <c r="A32" t="s">
        <v>119</v>
      </c>
      <c r="B32" t="s">
        <v>27</v>
      </c>
      <c r="C32">
        <v>100</v>
      </c>
      <c r="D32">
        <v>100</v>
      </c>
      <c r="E32">
        <v>2024</v>
      </c>
      <c r="F32">
        <v>2</v>
      </c>
      <c r="G32">
        <v>11</v>
      </c>
      <c r="H32">
        <v>42</v>
      </c>
      <c r="I32" t="s">
        <v>118</v>
      </c>
      <c r="J32">
        <v>-52.7161597666666</v>
      </c>
      <c r="K32">
        <v>-64.585975466666596</v>
      </c>
      <c r="L32" t="s">
        <v>222</v>
      </c>
      <c r="M32" t="s">
        <v>138</v>
      </c>
      <c r="N32" t="s">
        <v>138</v>
      </c>
      <c r="O32" t="s">
        <v>138</v>
      </c>
      <c r="P32" t="s">
        <v>138</v>
      </c>
      <c r="Q32">
        <v>1.9655531466937319E-2</v>
      </c>
      <c r="R32">
        <v>1.351463720852473E-3</v>
      </c>
      <c r="S32">
        <v>3.2750276257335988E-2</v>
      </c>
      <c r="T32">
        <v>2.7780663590605371E-2</v>
      </c>
      <c r="U32">
        <v>1.5061724177276639E-3</v>
      </c>
      <c r="V32">
        <v>2.6377614086883671E-2</v>
      </c>
      <c r="W32">
        <v>2.8201918570962828E-4</v>
      </c>
      <c r="X32">
        <v>4.3834720622982874E-3</v>
      </c>
      <c r="Y32">
        <v>0.1232513615193981</v>
      </c>
      <c r="Z32">
        <v>0.12763483358169639</v>
      </c>
      <c r="AA32">
        <v>0.10872357649641159</v>
      </c>
      <c r="AB32">
        <v>0.27243275257562188</v>
      </c>
      <c r="AC32">
        <v>0.48029864576694359</v>
      </c>
      <c r="AD32">
        <v>0.24726860165743439</v>
      </c>
      <c r="AE32">
        <v>3.4771909037192968E-2</v>
      </c>
      <c r="AF32">
        <v>6.1302837721977997E-2</v>
      </c>
      <c r="AG32">
        <v>3.1560086822525417E-2</v>
      </c>
      <c r="AH32">
        <v>0.1109740864855337</v>
      </c>
      <c r="AI32">
        <v>0.1155778631688574</v>
      </c>
      <c r="AJ32">
        <v>0.64837847944105553</v>
      </c>
      <c r="AK32">
        <v>0.23604365739008709</v>
      </c>
      <c r="AL32">
        <v>1.4751761331285191E-2</v>
      </c>
      <c r="AM32">
        <v>8.2755679321412479E-2</v>
      </c>
      <c r="AN32">
        <v>3.0127392928998731E-2</v>
      </c>
      <c r="AO32">
        <v>0.14204087362508791</v>
      </c>
      <c r="AP32">
        <v>5.4257286966098613E-3</v>
      </c>
      <c r="AQ32">
        <v>0.33261871616260069</v>
      </c>
      <c r="AR32">
        <v>0.47860406083298163</v>
      </c>
      <c r="AS32">
        <v>0.18877722300441771</v>
      </c>
      <c r="AT32">
        <v>4.2453734483571037E-2</v>
      </c>
      <c r="AU32">
        <v>6.1086549655941708E-2</v>
      </c>
      <c r="AV32">
        <v>2.409454944218364E-2</v>
      </c>
      <c r="AW32">
        <v>0.1202986240833778</v>
      </c>
      <c r="AX32">
        <v>1.9655531466937319E-2</v>
      </c>
      <c r="AY32">
        <v>0.2902884356435908</v>
      </c>
      <c r="AZ32">
        <v>0.69948840515283128</v>
      </c>
      <c r="BA32">
        <v>1.0223159203577969E-2</v>
      </c>
      <c r="BB32">
        <v>3.7050916174060693E-2</v>
      </c>
      <c r="BC32">
        <v>8.9279086184007844E-2</v>
      </c>
      <c r="BD32">
        <v>1.3048312236278621E-3</v>
      </c>
    </row>
    <row r="33" spans="1:56" x14ac:dyDescent="0.25">
      <c r="A33" t="s">
        <v>120</v>
      </c>
      <c r="B33" t="s">
        <v>27</v>
      </c>
      <c r="C33">
        <v>20</v>
      </c>
      <c r="D33">
        <v>20</v>
      </c>
      <c r="E33">
        <v>2024</v>
      </c>
      <c r="F33">
        <v>2</v>
      </c>
      <c r="G33">
        <v>11</v>
      </c>
      <c r="H33">
        <v>42</v>
      </c>
      <c r="I33" t="s">
        <v>118</v>
      </c>
      <c r="J33">
        <v>-52.7161597666666</v>
      </c>
      <c r="K33">
        <v>-64.585975466666596</v>
      </c>
      <c r="L33" t="s">
        <v>222</v>
      </c>
      <c r="M33">
        <v>4.0604291698320703</v>
      </c>
      <c r="N33">
        <v>0.14192605354520491</v>
      </c>
      <c r="O33">
        <v>0.21740981166523829</v>
      </c>
      <c r="P33">
        <v>0.222642410890347</v>
      </c>
      <c r="Q33">
        <v>2.8070250753673101E-2</v>
      </c>
      <c r="R33">
        <v>3.7081431672486209E-3</v>
      </c>
      <c r="S33">
        <v>7.6228049632802497E-2</v>
      </c>
      <c r="T33">
        <v>1.2600378801424761E-2</v>
      </c>
      <c r="U33">
        <v>6.9523021349337539E-3</v>
      </c>
      <c r="V33">
        <v>1.7900201209065159E-2</v>
      </c>
      <c r="W33">
        <v>1.38385545836954E-3</v>
      </c>
      <c r="X33">
        <v>1.650561220266188E-2</v>
      </c>
      <c r="Y33">
        <v>0.1809203896317193</v>
      </c>
      <c r="Z33">
        <v>0.19742600183438119</v>
      </c>
      <c r="AA33">
        <v>0.1694679912389713</v>
      </c>
      <c r="AB33">
        <v>0.26440117157767762</v>
      </c>
      <c r="AC33">
        <v>0.62189405872229431</v>
      </c>
      <c r="AD33">
        <v>0.1137047697000281</v>
      </c>
      <c r="AE33">
        <v>5.2199666184907123E-2</v>
      </c>
      <c r="AF33">
        <v>0.1227780575780984</v>
      </c>
      <c r="AG33">
        <v>2.244827807137564E-2</v>
      </c>
      <c r="AH33">
        <v>0.18204093620539791</v>
      </c>
      <c r="AI33">
        <v>5.7770274555808861E-2</v>
      </c>
      <c r="AJ33">
        <v>0.73350900292696009</v>
      </c>
      <c r="AK33">
        <v>0.20872072251723101</v>
      </c>
      <c r="AL33">
        <v>1.140535433042783E-2</v>
      </c>
      <c r="AM33">
        <v>0.14481374975739311</v>
      </c>
      <c r="AN33">
        <v>4.1206897746560223E-2</v>
      </c>
      <c r="AO33">
        <v>0.20146922339739151</v>
      </c>
      <c r="AP33">
        <v>2.8177377352153268E-3</v>
      </c>
      <c r="AQ33">
        <v>0.1652935732181488</v>
      </c>
      <c r="AR33">
        <v>0.58863534242298687</v>
      </c>
      <c r="AS33">
        <v>0.24607108435886441</v>
      </c>
      <c r="AT33">
        <v>3.2633249289377657E-2</v>
      </c>
      <c r="AU33">
        <v>0.11621192219298219</v>
      </c>
      <c r="AV33">
        <v>4.8580830352021341E-2</v>
      </c>
      <c r="AW33">
        <v>0.16432261660024791</v>
      </c>
      <c r="AX33">
        <v>1.4512726899575411E-2</v>
      </c>
      <c r="AY33">
        <v>0.15365064287637251</v>
      </c>
      <c r="AZ33">
        <v>0.71855689783235077</v>
      </c>
      <c r="BA33">
        <v>0.12779245929127669</v>
      </c>
      <c r="BB33">
        <v>3.0334632102364562E-2</v>
      </c>
      <c r="BC33">
        <v>0.14186181542955689</v>
      </c>
      <c r="BD33">
        <v>2.522955430245968E-2</v>
      </c>
    </row>
    <row r="34" spans="1:56" x14ac:dyDescent="0.25">
      <c r="A34" t="s">
        <v>123</v>
      </c>
      <c r="B34" t="s">
        <v>30</v>
      </c>
      <c r="C34">
        <v>45</v>
      </c>
      <c r="D34">
        <v>45</v>
      </c>
      <c r="E34">
        <v>2024</v>
      </c>
      <c r="F34">
        <v>2</v>
      </c>
      <c r="G34">
        <v>12</v>
      </c>
      <c r="H34">
        <v>43</v>
      </c>
      <c r="I34" t="s">
        <v>121</v>
      </c>
      <c r="J34">
        <v>-53.584821533333297</v>
      </c>
      <c r="K34">
        <v>-64.540471066666598</v>
      </c>
      <c r="L34" t="s">
        <v>223</v>
      </c>
      <c r="M34" t="s">
        <v>138</v>
      </c>
      <c r="N34" t="s">
        <v>138</v>
      </c>
      <c r="O34" t="s">
        <v>138</v>
      </c>
      <c r="P34" t="s">
        <v>138</v>
      </c>
      <c r="Q34">
        <v>5.0425671690252832E-2</v>
      </c>
      <c r="R34">
        <v>4.415626381922666E-3</v>
      </c>
      <c r="S34">
        <v>4.8510990989719387E-2</v>
      </c>
      <c r="T34">
        <v>2.0859483993516961E-2</v>
      </c>
      <c r="U34">
        <v>6.7578641803306833E-3</v>
      </c>
      <c r="V34">
        <v>4.3907435796446348E-2</v>
      </c>
      <c r="W34">
        <v>1.506405989370457E-3</v>
      </c>
      <c r="X34">
        <v>1.557792247625959E-2</v>
      </c>
      <c r="Y34">
        <v>0.23754228949520551</v>
      </c>
      <c r="Z34">
        <v>0.25312021197146511</v>
      </c>
      <c r="AA34">
        <v>0.1959327460499099</v>
      </c>
      <c r="AB34">
        <v>0.39465700267412251</v>
      </c>
      <c r="AC34">
        <v>0.3723956200985758</v>
      </c>
      <c r="AD34">
        <v>0.23294737722730141</v>
      </c>
      <c r="AE34">
        <v>9.989566417289697E-2</v>
      </c>
      <c r="AF34">
        <v>9.4260858296596695E-2</v>
      </c>
      <c r="AG34">
        <v>5.8963689501971367E-2</v>
      </c>
      <c r="AH34">
        <v>0.24155193700223179</v>
      </c>
      <c r="AI34">
        <v>9.4912225555703361E-2</v>
      </c>
      <c r="AJ34">
        <v>0.62558355080546124</v>
      </c>
      <c r="AK34">
        <v>0.27950422363883543</v>
      </c>
      <c r="AL34">
        <v>2.4024202651343141E-2</v>
      </c>
      <c r="AM34">
        <v>0.1583478409857402</v>
      </c>
      <c r="AN34">
        <v>7.0748168334381814E-2</v>
      </c>
      <c r="AO34">
        <v>0.25769450476925049</v>
      </c>
      <c r="AP34">
        <v>4.3954422272331874E-3</v>
      </c>
      <c r="AQ34">
        <v>0.30936592155120202</v>
      </c>
      <c r="AR34">
        <v>0.35378424362634209</v>
      </c>
      <c r="AS34">
        <v>0.33684983482245612</v>
      </c>
      <c r="AT34">
        <v>7.8306767639787889E-2</v>
      </c>
      <c r="AU34">
        <v>8.9549942738864186E-2</v>
      </c>
      <c r="AV34">
        <v>8.5263501592813096E-2</v>
      </c>
      <c r="AW34">
        <v>0.20644723225713141</v>
      </c>
      <c r="AX34">
        <v>2.0350545550331209E-2</v>
      </c>
      <c r="AY34">
        <v>0.28809816450068582</v>
      </c>
      <c r="AZ34">
        <v>0.50305484095231734</v>
      </c>
      <c r="BA34">
        <v>0.20884699454699701</v>
      </c>
      <c r="BB34">
        <v>7.2923468467003608E-2</v>
      </c>
      <c r="BC34">
        <v>0.12733334797512219</v>
      </c>
      <c r="BD34">
        <v>5.2863395529339288E-2</v>
      </c>
    </row>
    <row r="35" spans="1:56" x14ac:dyDescent="0.25">
      <c r="A35" t="s">
        <v>122</v>
      </c>
      <c r="B35" t="s">
        <v>30</v>
      </c>
      <c r="C35">
        <v>100</v>
      </c>
      <c r="D35">
        <v>100</v>
      </c>
      <c r="E35">
        <v>2024</v>
      </c>
      <c r="F35">
        <v>2</v>
      </c>
      <c r="G35">
        <v>12</v>
      </c>
      <c r="H35">
        <v>43</v>
      </c>
      <c r="I35" t="s">
        <v>121</v>
      </c>
      <c r="J35">
        <v>-53.584821533333297</v>
      </c>
      <c r="K35">
        <v>-64.540471066666598</v>
      </c>
      <c r="L35" t="s">
        <v>223</v>
      </c>
      <c r="M35" t="s">
        <v>138</v>
      </c>
      <c r="N35" t="s">
        <v>138</v>
      </c>
      <c r="O35" t="s">
        <v>138</v>
      </c>
      <c r="P35" t="s">
        <v>138</v>
      </c>
      <c r="Q35">
        <v>2.5087226773111499E-2</v>
      </c>
      <c r="R35">
        <v>1.196536206067363E-3</v>
      </c>
      <c r="S35">
        <v>2.9799663521014281E-2</v>
      </c>
      <c r="T35">
        <v>2.8021412493664691E-2</v>
      </c>
      <c r="U35">
        <v>2.105849398760979E-3</v>
      </c>
      <c r="V35">
        <v>3.2403622811664437E-2</v>
      </c>
      <c r="W35">
        <v>7.1593675052283629E-4</v>
      </c>
      <c r="X35">
        <v>5.4410822136249856E-3</v>
      </c>
      <c r="Y35">
        <v>0.14027006048126661</v>
      </c>
      <c r="Z35">
        <v>0.1457111426948916</v>
      </c>
      <c r="AA35">
        <v>0.1193200471296003</v>
      </c>
      <c r="AB35">
        <v>0.31059412640349621</v>
      </c>
      <c r="AC35">
        <v>0.40996109086846322</v>
      </c>
      <c r="AD35">
        <v>0.27944478272804057</v>
      </c>
      <c r="AE35">
        <v>4.5257025072575043E-2</v>
      </c>
      <c r="AF35">
        <v>5.973589901088807E-2</v>
      </c>
      <c r="AG35">
        <v>4.0718218611428512E-2</v>
      </c>
      <c r="AH35">
        <v>0.13034074091733169</v>
      </c>
      <c r="AI35">
        <v>0.12519436722111771</v>
      </c>
      <c r="AJ35">
        <v>0.61963504078514176</v>
      </c>
      <c r="AK35">
        <v>0.25517059199374048</v>
      </c>
      <c r="AL35">
        <v>1.8242214306752949E-2</v>
      </c>
      <c r="AM35">
        <v>9.0287729846598774E-2</v>
      </c>
      <c r="AN35">
        <v>3.7181198541539881E-2</v>
      </c>
      <c r="AO35">
        <v>0.1599631870231355</v>
      </c>
      <c r="AP35">
        <v>5.3222337996032152E-3</v>
      </c>
      <c r="AQ35">
        <v>0.36522792470280507</v>
      </c>
      <c r="AR35">
        <v>0.40840860079421581</v>
      </c>
      <c r="AS35">
        <v>0.22636347450297911</v>
      </c>
      <c r="AT35">
        <v>5.3217778252529553E-2</v>
      </c>
      <c r="AU35">
        <v>5.9509683908147003E-2</v>
      </c>
      <c r="AV35">
        <v>3.2983680534215049E-2</v>
      </c>
      <c r="AW35">
        <v>0.13382428048578349</v>
      </c>
      <c r="AX35">
        <v>2.3725140437101989E-2</v>
      </c>
      <c r="AY35">
        <v>0.32415241465518962</v>
      </c>
      <c r="AZ35">
        <v>0.65447956323437251</v>
      </c>
      <c r="BA35">
        <v>2.1368022110437909E-2</v>
      </c>
      <c r="BB35">
        <v>4.7232618746716012E-2</v>
      </c>
      <c r="BC35">
        <v>9.536496502933399E-2</v>
      </c>
      <c r="BD35">
        <v>3.113558918841618E-3</v>
      </c>
    </row>
    <row r="36" spans="1:56" x14ac:dyDescent="0.25">
      <c r="A36" t="s">
        <v>126</v>
      </c>
      <c r="B36" t="s">
        <v>33</v>
      </c>
      <c r="C36">
        <v>48</v>
      </c>
      <c r="D36">
        <v>48</v>
      </c>
      <c r="E36">
        <v>2024</v>
      </c>
      <c r="F36">
        <v>2</v>
      </c>
      <c r="G36">
        <v>13</v>
      </c>
      <c r="H36">
        <v>44</v>
      </c>
      <c r="I36" t="s">
        <v>124</v>
      </c>
      <c r="J36">
        <v>-53.901781083333297</v>
      </c>
      <c r="K36">
        <v>-64.575648950000001</v>
      </c>
      <c r="L36" t="s">
        <v>224</v>
      </c>
      <c r="M36">
        <v>3.6444419155852579</v>
      </c>
      <c r="N36">
        <v>0.16671253176850831</v>
      </c>
      <c r="O36">
        <v>0.27460079055621661</v>
      </c>
      <c r="P36">
        <v>0.28427924721098807</v>
      </c>
      <c r="Q36">
        <v>0.12887541557321491</v>
      </c>
      <c r="R36">
        <v>9.2494105781002287E-3</v>
      </c>
      <c r="S36">
        <v>4.1249680323839612E-2</v>
      </c>
      <c r="T36">
        <v>2.0909208448464559E-2</v>
      </c>
      <c r="U36">
        <v>6.2310462651562022E-3</v>
      </c>
      <c r="V36">
        <v>7.9509561156405464E-2</v>
      </c>
      <c r="W36">
        <v>1.8274677302064521E-3</v>
      </c>
      <c r="X36">
        <v>2.224630058506245E-2</v>
      </c>
      <c r="Y36">
        <v>0.37515626082931858</v>
      </c>
      <c r="Z36">
        <v>0.39740256141438102</v>
      </c>
      <c r="AA36">
        <v>0.34007622861663411</v>
      </c>
      <c r="AB36">
        <v>0.572683382386311</v>
      </c>
      <c r="AC36">
        <v>0.18655801078896531</v>
      </c>
      <c r="AD36">
        <v>0.2407586068247238</v>
      </c>
      <c r="AE36">
        <v>0.22758584303977139</v>
      </c>
      <c r="AF36">
        <v>7.4138631339906516E-2</v>
      </c>
      <c r="AG36">
        <v>9.5678087034703097E-2</v>
      </c>
      <c r="AH36">
        <v>0.4797167332236032</v>
      </c>
      <c r="AI36">
        <v>8.3689481548085046E-2</v>
      </c>
      <c r="AJ36">
        <v>0.55801761768797775</v>
      </c>
      <c r="AK36">
        <v>0.35829290076393733</v>
      </c>
      <c r="AL36">
        <v>3.3258414330650583E-2</v>
      </c>
      <c r="AM36">
        <v>0.22175763058355319</v>
      </c>
      <c r="AN36">
        <v>0.14238651650017731</v>
      </c>
      <c r="AO36">
        <v>0.45534622214881432</v>
      </c>
      <c r="AP36">
        <v>4.1915243069438361E-3</v>
      </c>
      <c r="AQ36">
        <v>0.31498578075594991</v>
      </c>
      <c r="AR36">
        <v>0.17768800537567939</v>
      </c>
      <c r="AS36">
        <v>0.50732621386837073</v>
      </c>
      <c r="AT36">
        <v>0.1251761560815231</v>
      </c>
      <c r="AU36">
        <v>7.0613668468907292E-2</v>
      </c>
      <c r="AV36">
        <v>0.20161273686395059</v>
      </c>
      <c r="AW36">
        <v>0.35167813591771752</v>
      </c>
      <c r="AX36">
        <v>1.974108737970676E-2</v>
      </c>
      <c r="AY36">
        <v>0.30292822408807712</v>
      </c>
      <c r="AZ36">
        <v>0.2697162626513665</v>
      </c>
      <c r="BA36">
        <v>0.42735551326055632</v>
      </c>
      <c r="BB36">
        <v>0.1203844521773114</v>
      </c>
      <c r="BC36">
        <v>0.107185933632767</v>
      </c>
      <c r="BD36">
        <v>0.16983217560430261</v>
      </c>
    </row>
    <row r="37" spans="1:56" x14ac:dyDescent="0.25">
      <c r="A37" t="s">
        <v>125</v>
      </c>
      <c r="B37" t="s">
        <v>33</v>
      </c>
      <c r="C37">
        <v>97</v>
      </c>
      <c r="D37">
        <v>97</v>
      </c>
      <c r="E37">
        <v>2024</v>
      </c>
      <c r="F37">
        <v>2</v>
      </c>
      <c r="G37">
        <v>13</v>
      </c>
      <c r="H37">
        <v>44</v>
      </c>
      <c r="I37" t="s">
        <v>124</v>
      </c>
      <c r="J37">
        <v>-53.901781083333297</v>
      </c>
      <c r="K37">
        <v>-64.575648950000001</v>
      </c>
      <c r="L37" t="s">
        <v>224</v>
      </c>
      <c r="M37" t="s">
        <v>138</v>
      </c>
      <c r="N37" t="s">
        <v>138</v>
      </c>
      <c r="O37" t="s">
        <v>138</v>
      </c>
      <c r="P37" t="s">
        <v>138</v>
      </c>
      <c r="Q37">
        <v>1.959183893331163E-2</v>
      </c>
      <c r="R37">
        <v>1.337340748049367E-3</v>
      </c>
      <c r="S37">
        <v>2.6862947673387511E-2</v>
      </c>
      <c r="T37">
        <v>2.435172204282483E-2</v>
      </c>
      <c r="U37">
        <v>1.9944293449959769E-3</v>
      </c>
      <c r="V37">
        <v>2.9239862895379609E-2</v>
      </c>
      <c r="W37">
        <v>7.930959591694515E-4</v>
      </c>
      <c r="X37">
        <v>5.0700935259980146E-3</v>
      </c>
      <c r="Y37">
        <v>0.12622967857647691</v>
      </c>
      <c r="Z37">
        <v>0.1312997721024749</v>
      </c>
      <c r="AA37">
        <v>0.10356017126712649</v>
      </c>
      <c r="AB37">
        <v>0.28495649427422792</v>
      </c>
      <c r="AC37">
        <v>0.42328728632668189</v>
      </c>
      <c r="AD37">
        <v>0.29175621939909019</v>
      </c>
      <c r="AE37">
        <v>3.741472275732631E-2</v>
      </c>
      <c r="AF37">
        <v>5.5577524228568383E-2</v>
      </c>
      <c r="AG37">
        <v>3.8307525116580213E-2</v>
      </c>
      <c r="AH37">
        <v>0.1104229427189326</v>
      </c>
      <c r="AI37">
        <v>0.1353726051008694</v>
      </c>
      <c r="AJ37">
        <v>0.6282034162704716</v>
      </c>
      <c r="AK37">
        <v>0.2364239786286588</v>
      </c>
      <c r="AL37">
        <v>1.7774392198662479E-2</v>
      </c>
      <c r="AM37">
        <v>8.2482965390309096E-2</v>
      </c>
      <c r="AN37">
        <v>3.10424145135033E-2</v>
      </c>
      <c r="AO37">
        <v>0.13920803131805631</v>
      </c>
      <c r="AP37">
        <v>4.3793742749267959E-3</v>
      </c>
      <c r="AQ37">
        <v>0.37980406195467892</v>
      </c>
      <c r="AR37">
        <v>0.41544879685844849</v>
      </c>
      <c r="AS37">
        <v>0.20474714118687251</v>
      </c>
      <c r="AT37">
        <v>4.9868186778243589E-2</v>
      </c>
      <c r="AU37">
        <v>5.4548332347761679E-2</v>
      </c>
      <c r="AV37">
        <v>2.688325297646961E-2</v>
      </c>
      <c r="AW37">
        <v>0.11658132148786279</v>
      </c>
      <c r="AX37">
        <v>1.959183893331163E-2</v>
      </c>
      <c r="AY37">
        <v>0.33740606675111973</v>
      </c>
      <c r="AZ37">
        <v>0.65215503904873506</v>
      </c>
      <c r="BA37">
        <v>1.0438894200145271E-2</v>
      </c>
      <c r="BB37">
        <v>4.4301339670414448E-2</v>
      </c>
      <c r="BC37">
        <v>8.5627808002579534E-2</v>
      </c>
      <c r="BD37">
        <v>1.3706244294809219E-3</v>
      </c>
    </row>
    <row r="38" spans="1:56" x14ac:dyDescent="0.25">
      <c r="A38" t="s">
        <v>128</v>
      </c>
      <c r="B38" t="s">
        <v>36</v>
      </c>
      <c r="C38">
        <v>20</v>
      </c>
      <c r="D38">
        <v>20</v>
      </c>
      <c r="E38">
        <v>2024</v>
      </c>
      <c r="F38">
        <v>2</v>
      </c>
      <c r="G38">
        <v>14</v>
      </c>
      <c r="H38">
        <v>45</v>
      </c>
      <c r="I38" t="s">
        <v>127</v>
      </c>
      <c r="J38">
        <v>-54.290629216666602</v>
      </c>
      <c r="K38">
        <v>-64.563881166666604</v>
      </c>
      <c r="L38" t="s">
        <v>36</v>
      </c>
      <c r="M38">
        <v>2.187316432343299</v>
      </c>
      <c r="N38">
        <v>0.35195817030179127</v>
      </c>
      <c r="O38">
        <v>0.85333651101335173</v>
      </c>
      <c r="P38">
        <v>1.0006649037391551</v>
      </c>
      <c r="Q38">
        <v>0.32179180261173779</v>
      </c>
      <c r="R38">
        <v>1.330670081675603E-2</v>
      </c>
      <c r="S38">
        <v>6.8347998923999523E-2</v>
      </c>
      <c r="T38">
        <v>1.464215477588948E-2</v>
      </c>
      <c r="U38">
        <v>6.4892679261940714E-2</v>
      </c>
      <c r="V38">
        <v>6.2580713454867848E-2</v>
      </c>
      <c r="W38">
        <v>3.1238053805951499E-3</v>
      </c>
      <c r="X38">
        <v>7.9334518762793793E-2</v>
      </c>
      <c r="Y38">
        <v>1.037434773492651</v>
      </c>
      <c r="Z38">
        <v>1.1167692922554451</v>
      </c>
      <c r="AA38">
        <v>0.66924420341310975</v>
      </c>
      <c r="AB38">
        <v>0.70600370899666831</v>
      </c>
      <c r="AC38">
        <v>0.19553747301032159</v>
      </c>
      <c r="AD38">
        <v>9.8458817993010025E-2</v>
      </c>
      <c r="AE38">
        <v>0.78844326242592844</v>
      </c>
      <c r="AF38">
        <v>0.21837024534315511</v>
      </c>
      <c r="AG38">
        <v>0.10995578448636149</v>
      </c>
      <c r="AH38">
        <v>1.155012855062354</v>
      </c>
      <c r="AI38">
        <v>2.9576397658750121E-2</v>
      </c>
      <c r="AJ38">
        <v>0.60164980833190851</v>
      </c>
      <c r="AK38">
        <v>0.3687737940093414</v>
      </c>
      <c r="AL38">
        <v>3.3030012680827982E-2</v>
      </c>
      <c r="AM38">
        <v>0.67190403063644966</v>
      </c>
      <c r="AN38">
        <v>0.41183524893816748</v>
      </c>
      <c r="AO38">
        <v>0.90180216862489104</v>
      </c>
      <c r="AP38">
        <v>3.2424014983184991E-3</v>
      </c>
      <c r="AQ38">
        <v>0.1271259168962697</v>
      </c>
      <c r="AR38">
        <v>0.23581402362877271</v>
      </c>
      <c r="AS38">
        <v>0.63706005947495747</v>
      </c>
      <c r="AT38">
        <v>0.14197032023957171</v>
      </c>
      <c r="AU38">
        <v>0.26334986027181317</v>
      </c>
      <c r="AV38">
        <v>0.71144911174406</v>
      </c>
      <c r="AW38">
        <v>0.70202993539697167</v>
      </c>
      <c r="AX38">
        <v>1.613278719271681E-2</v>
      </c>
      <c r="AY38">
        <v>0.1225612716528921</v>
      </c>
      <c r="AZ38">
        <v>0.29417895957893192</v>
      </c>
      <c r="BA38">
        <v>0.58325976876817598</v>
      </c>
      <c r="BB38">
        <v>0.1368726646017277</v>
      </c>
      <c r="BC38">
        <v>0.32853002848540702</v>
      </c>
      <c r="BD38">
        <v>0.65136659916831041</v>
      </c>
    </row>
    <row r="39" spans="1:56" x14ac:dyDescent="0.25">
      <c r="A39" t="s">
        <v>153</v>
      </c>
      <c r="B39" t="s">
        <v>225</v>
      </c>
      <c r="C39">
        <v>20</v>
      </c>
      <c r="D39">
        <v>20</v>
      </c>
      <c r="E39">
        <v>2024</v>
      </c>
      <c r="F39">
        <v>2</v>
      </c>
      <c r="G39">
        <v>24</v>
      </c>
      <c r="H39">
        <v>55</v>
      </c>
      <c r="I39" t="s">
        <v>152</v>
      </c>
      <c r="J39">
        <v>-52.740813799999898</v>
      </c>
      <c r="K39">
        <v>-63.156084100000001</v>
      </c>
      <c r="L39" t="s">
        <v>225</v>
      </c>
      <c r="M39" t="s">
        <v>138</v>
      </c>
      <c r="N39" t="s">
        <v>138</v>
      </c>
      <c r="O39" t="s">
        <v>138</v>
      </c>
      <c r="P39" t="s">
        <v>138</v>
      </c>
      <c r="Q39">
        <v>5.2139437640777053E-2</v>
      </c>
      <c r="R39">
        <v>1.7698617771880151E-3</v>
      </c>
      <c r="S39">
        <v>3.8181571817523692E-2</v>
      </c>
      <c r="T39">
        <v>6.1034637148361017E-3</v>
      </c>
      <c r="U39">
        <v>8.5265142331764784E-2</v>
      </c>
      <c r="V39">
        <v>8.6666523202245972E-3</v>
      </c>
      <c r="W39">
        <v>1.913690474227372E-3</v>
      </c>
      <c r="X39">
        <v>2.5891645905850909E-2</v>
      </c>
      <c r="Y39">
        <v>0.40090757419031681</v>
      </c>
      <c r="Z39">
        <v>0.42679922009616772</v>
      </c>
      <c r="AA39">
        <v>0.1881970987380997</v>
      </c>
      <c r="AB39">
        <v>0.40389630174432872</v>
      </c>
      <c r="AC39">
        <v>0.54084730630813105</v>
      </c>
      <c r="AD39">
        <v>5.5256391947540319E-2</v>
      </c>
      <c r="AE39">
        <v>0.17238262658420589</v>
      </c>
      <c r="AF39">
        <v>0.23083320852342351</v>
      </c>
      <c r="AG39">
        <v>2.3583384988538372E-2</v>
      </c>
      <c r="AH39">
        <v>0.40831495010366542</v>
      </c>
      <c r="AI39">
        <v>1.709987868325296E-2</v>
      </c>
      <c r="AJ39">
        <v>0.81419036019141833</v>
      </c>
      <c r="AK39">
        <v>0.1687097611253289</v>
      </c>
      <c r="AL39">
        <v>7.2982148857514487E-3</v>
      </c>
      <c r="AM39">
        <v>0.34749581073951519</v>
      </c>
      <c r="AN39">
        <v>7.2005194470901146E-2</v>
      </c>
      <c r="AO39">
        <v>0.31159839522026939</v>
      </c>
      <c r="AP39">
        <v>9.8094185319233681E-4</v>
      </c>
      <c r="AQ39">
        <v>5.5895278956376623E-2</v>
      </c>
      <c r="AR39">
        <v>0.64979648974834947</v>
      </c>
      <c r="AS39">
        <v>0.29430823129527378</v>
      </c>
      <c r="AT39">
        <v>2.3856061465639278E-2</v>
      </c>
      <c r="AU39">
        <v>0.27733263504582301</v>
      </c>
      <c r="AV39">
        <v>0.1256105235847054</v>
      </c>
      <c r="AW39">
        <v>0.2636072265371045</v>
      </c>
      <c r="AX39">
        <v>6.8251259872872854E-3</v>
      </c>
      <c r="AY39">
        <v>5.250657327499926E-2</v>
      </c>
      <c r="AZ39">
        <v>0.71791254549578576</v>
      </c>
      <c r="BA39">
        <v>0.22958088122921511</v>
      </c>
      <c r="BB39">
        <v>2.240976452369197E-2</v>
      </c>
      <c r="BC39">
        <v>0.3064045145148559</v>
      </c>
      <c r="BD39">
        <v>9.7984941057619929E-2</v>
      </c>
    </row>
    <row r="40" spans="1:56" x14ac:dyDescent="0.25">
      <c r="A40" t="s">
        <v>154</v>
      </c>
      <c r="B40" t="s">
        <v>225</v>
      </c>
      <c r="C40">
        <v>70</v>
      </c>
      <c r="D40">
        <v>70</v>
      </c>
      <c r="E40">
        <v>2024</v>
      </c>
      <c r="F40">
        <v>2</v>
      </c>
      <c r="G40">
        <v>24</v>
      </c>
      <c r="H40">
        <v>55</v>
      </c>
      <c r="I40" t="s">
        <v>152</v>
      </c>
      <c r="J40">
        <v>-52.740813799999898</v>
      </c>
      <c r="K40">
        <v>-63.156084100000001</v>
      </c>
      <c r="L40" t="s">
        <v>225</v>
      </c>
      <c r="M40" t="s">
        <v>138</v>
      </c>
      <c r="N40" t="s">
        <v>138</v>
      </c>
      <c r="O40" t="s">
        <v>138</v>
      </c>
      <c r="P40" t="s">
        <v>138</v>
      </c>
      <c r="Q40">
        <v>8.0921838206148178E-2</v>
      </c>
      <c r="R40">
        <v>0</v>
      </c>
      <c r="S40">
        <v>3.548760698035535E-2</v>
      </c>
      <c r="T40">
        <v>1.7805057098047829E-2</v>
      </c>
      <c r="U40">
        <v>7.3282769376009221E-3</v>
      </c>
      <c r="V40">
        <v>2.1475914922130551E-2</v>
      </c>
      <c r="W40">
        <v>1.141443000217721E-3</v>
      </c>
      <c r="X40">
        <v>1.48798057745515E-2</v>
      </c>
      <c r="Y40">
        <v>0.26388547097336201</v>
      </c>
      <c r="Z40">
        <v>0.27876527674791352</v>
      </c>
      <c r="AA40">
        <v>0.1924701039341366</v>
      </c>
      <c r="AB40">
        <v>0.59281825872403504</v>
      </c>
      <c r="AC40">
        <v>0.28938518696383347</v>
      </c>
      <c r="AD40">
        <v>0.1177965543121314</v>
      </c>
      <c r="AE40">
        <v>0.16525714595442181</v>
      </c>
      <c r="AF40">
        <v>8.0670541730719733E-2</v>
      </c>
      <c r="AG40">
        <v>3.2837589062771927E-2</v>
      </c>
      <c r="AH40">
        <v>0.28415843867541751</v>
      </c>
      <c r="AI40">
        <v>4.1627035357002733E-2</v>
      </c>
      <c r="AJ40">
        <v>0.58531486176137815</v>
      </c>
      <c r="AK40">
        <v>0.37305810288161889</v>
      </c>
      <c r="AL40">
        <v>1.160417203149005E-2</v>
      </c>
      <c r="AM40">
        <v>0.1631654594235773</v>
      </c>
      <c r="AN40">
        <v>0.10399564529284611</v>
      </c>
      <c r="AO40">
        <v>0.24691340923006119</v>
      </c>
      <c r="AP40">
        <v>3.3201223760675851E-3</v>
      </c>
      <c r="AQ40">
        <v>0.15962773915164191</v>
      </c>
      <c r="AR40">
        <v>0.29351259062879131</v>
      </c>
      <c r="AS40">
        <v>0.54685967021956694</v>
      </c>
      <c r="AT40">
        <v>4.4498670881251201E-2</v>
      </c>
      <c r="AU40">
        <v>8.1821118555632052E-2</v>
      </c>
      <c r="AV40">
        <v>0.1524454873110303</v>
      </c>
      <c r="AW40">
        <v>0.19733846315678991</v>
      </c>
      <c r="AX40">
        <v>1.671002917173223E-2</v>
      </c>
      <c r="AY40">
        <v>0.1500838912723387</v>
      </c>
      <c r="AZ40">
        <v>0.42691011988291339</v>
      </c>
      <c r="BA40">
        <v>0.42300598884474783</v>
      </c>
      <c r="BB40">
        <v>4.1838177485937253E-2</v>
      </c>
      <c r="BC40">
        <v>0.11900771771564531</v>
      </c>
      <c r="BD40">
        <v>0.1179193815463309</v>
      </c>
    </row>
    <row r="41" spans="1:56" x14ac:dyDescent="0.25">
      <c r="A41" t="s">
        <v>156</v>
      </c>
      <c r="B41" t="s">
        <v>226</v>
      </c>
      <c r="C41">
        <v>20</v>
      </c>
      <c r="D41">
        <v>20</v>
      </c>
      <c r="E41">
        <v>2024</v>
      </c>
      <c r="F41">
        <v>2</v>
      </c>
      <c r="G41">
        <v>25</v>
      </c>
      <c r="H41">
        <v>56</v>
      </c>
      <c r="I41" t="s">
        <v>155</v>
      </c>
      <c r="J41">
        <v>-56.153983533333303</v>
      </c>
      <c r="K41">
        <v>-64.783948033333303</v>
      </c>
      <c r="L41" t="s">
        <v>226</v>
      </c>
      <c r="M41">
        <v>2.0046282517405891</v>
      </c>
      <c r="N41">
        <v>0.40698893276004888</v>
      </c>
      <c r="O41">
        <v>1.0375654022954961</v>
      </c>
      <c r="P41">
        <v>1.1755093765698099</v>
      </c>
      <c r="Q41">
        <v>0.27930991381471437</v>
      </c>
      <c r="R41">
        <v>0</v>
      </c>
      <c r="S41">
        <v>0.1186064166233331</v>
      </c>
      <c r="T41">
        <v>5.5496249135169713E-2</v>
      </c>
      <c r="U41">
        <v>2.3934545235791131E-2</v>
      </c>
      <c r="V41">
        <v>6.8301069227431371E-2</v>
      </c>
      <c r="W41">
        <v>2.0973214639613828E-3</v>
      </c>
      <c r="X41">
        <v>5.862166847009035E-2</v>
      </c>
      <c r="Y41">
        <v>0.90196203334048874</v>
      </c>
      <c r="Z41">
        <v>0.96058370181057906</v>
      </c>
      <c r="AA41">
        <v>0.64902931830787669</v>
      </c>
      <c r="AB41">
        <v>0.60679381866063808</v>
      </c>
      <c r="AC41">
        <v>0.28413903385938782</v>
      </c>
      <c r="AD41">
        <v>0.10906714747997449</v>
      </c>
      <c r="AE41">
        <v>0.5828762525648129</v>
      </c>
      <c r="AF41">
        <v>0.27293932497353218</v>
      </c>
      <c r="AG41">
        <v>0.1047681242722342</v>
      </c>
      <c r="AH41">
        <v>0.96555768977834688</v>
      </c>
      <c r="AI41">
        <v>3.654823687460361E-2</v>
      </c>
      <c r="AJ41">
        <v>0.58450393745868678</v>
      </c>
      <c r="AK41">
        <v>0.37894782566670959</v>
      </c>
      <c r="AL41">
        <v>3.5107640671656642E-2</v>
      </c>
      <c r="AM41">
        <v>0.56146495596692458</v>
      </c>
      <c r="AN41">
        <v>0.36401110517199792</v>
      </c>
      <c r="AO41">
        <v>0.82947606083721948</v>
      </c>
      <c r="AP41">
        <v>1.8043440403472041E-2</v>
      </c>
      <c r="AQ41">
        <v>0.1491991431584358</v>
      </c>
      <c r="AR41">
        <v>0.30273963458433101</v>
      </c>
      <c r="AS41">
        <v>0.54806122225723319</v>
      </c>
      <c r="AT41">
        <v>0.14331826524209679</v>
      </c>
      <c r="AU41">
        <v>0.2908067588737987</v>
      </c>
      <c r="AV41">
        <v>0.52645867769468357</v>
      </c>
      <c r="AW41">
        <v>0.66008454817411832</v>
      </c>
      <c r="AX41">
        <v>5.5904365599527842E-2</v>
      </c>
      <c r="AY41">
        <v>0.13968046797357231</v>
      </c>
      <c r="AZ41">
        <v>0.42033466420441479</v>
      </c>
      <c r="BA41">
        <v>0.43998486782201279</v>
      </c>
      <c r="BB41">
        <v>0.13417478099668809</v>
      </c>
      <c r="BC41">
        <v>0.40376662774078348</v>
      </c>
      <c r="BD41">
        <v>0.42264229307310741</v>
      </c>
    </row>
    <row r="42" spans="1:56" x14ac:dyDescent="0.25">
      <c r="A42" t="s">
        <v>157</v>
      </c>
      <c r="B42" t="s">
        <v>226</v>
      </c>
      <c r="C42">
        <v>50</v>
      </c>
      <c r="D42">
        <v>50</v>
      </c>
      <c r="E42">
        <v>2024</v>
      </c>
      <c r="F42">
        <v>2</v>
      </c>
      <c r="G42">
        <v>25</v>
      </c>
      <c r="H42">
        <v>56</v>
      </c>
      <c r="I42" t="s">
        <v>155</v>
      </c>
      <c r="J42">
        <v>-56.153983533333303</v>
      </c>
      <c r="K42">
        <v>-64.783948033333303</v>
      </c>
      <c r="L42" t="s">
        <v>226</v>
      </c>
      <c r="M42" t="s">
        <v>138</v>
      </c>
      <c r="N42" t="s">
        <v>138</v>
      </c>
      <c r="O42" t="s">
        <v>138</v>
      </c>
      <c r="P42" t="s">
        <v>138</v>
      </c>
      <c r="Q42">
        <v>0.24668155374827769</v>
      </c>
      <c r="R42">
        <v>0</v>
      </c>
      <c r="S42">
        <v>4.9461977414250513E-2</v>
      </c>
      <c r="T42">
        <v>2.6763652704789399E-2</v>
      </c>
      <c r="U42">
        <v>2.178568444229576E-3</v>
      </c>
      <c r="V42">
        <v>3.6809487740822287E-2</v>
      </c>
      <c r="W42">
        <v>1.8774574011048181E-3</v>
      </c>
      <c r="X42">
        <v>2.434940153246418E-2</v>
      </c>
      <c r="Y42">
        <v>0.55462788894123372</v>
      </c>
      <c r="Z42">
        <v>0.57897729047369795</v>
      </c>
      <c r="AA42">
        <v>0.46010431759756443</v>
      </c>
      <c r="AB42">
        <v>0.75596115376882245</v>
      </c>
      <c r="AC42">
        <v>0.1597271053943729</v>
      </c>
      <c r="AD42">
        <v>8.4311740836804525E-2</v>
      </c>
      <c r="AE42">
        <v>0.43768434051244343</v>
      </c>
      <c r="AF42">
        <v>9.24783666964408E-2</v>
      </c>
      <c r="AG42">
        <v>4.8814583264813707E-2</v>
      </c>
      <c r="AH42">
        <v>0.73254366558970396</v>
      </c>
      <c r="AI42">
        <v>2.751261861180862E-2</v>
      </c>
      <c r="AJ42">
        <v>0.53134939796149272</v>
      </c>
      <c r="AK42">
        <v>0.44113798342669852</v>
      </c>
      <c r="AL42">
        <v>1.592918137770119E-2</v>
      </c>
      <c r="AM42">
        <v>0.30763923472657573</v>
      </c>
      <c r="AN42">
        <v>0.255408874369421</v>
      </c>
      <c r="AO42">
        <v>0.57658648884096475</v>
      </c>
      <c r="AP42">
        <v>5.9044140441651778E-3</v>
      </c>
      <c r="AQ42">
        <v>0.117022242424455</v>
      </c>
      <c r="AR42">
        <v>0.15636998720041911</v>
      </c>
      <c r="AS42">
        <v>0.72660777037512581</v>
      </c>
      <c r="AT42">
        <v>6.7753220844067166E-2</v>
      </c>
      <c r="AU42">
        <v>9.0534671500705502E-2</v>
      </c>
      <c r="AV42">
        <v>0.42068939812892531</v>
      </c>
      <c r="AW42">
        <v>0.44723026512590458</v>
      </c>
      <c r="AX42">
        <v>2.525037735238048E-2</v>
      </c>
      <c r="AY42">
        <v>0.1132774937484414</v>
      </c>
      <c r="AZ42">
        <v>0.24307078640735791</v>
      </c>
      <c r="BA42">
        <v>0.64365171984420078</v>
      </c>
      <c r="BB42">
        <v>6.5585096402123885E-2</v>
      </c>
      <c r="BC42">
        <v>0.14073246530744299</v>
      </c>
      <c r="BD42">
        <v>0.37265972876413112</v>
      </c>
    </row>
    <row r="43" spans="1:56" x14ac:dyDescent="0.25">
      <c r="A43" t="s">
        <v>158</v>
      </c>
      <c r="B43" t="s">
        <v>226</v>
      </c>
      <c r="C43">
        <v>80</v>
      </c>
      <c r="D43">
        <v>80</v>
      </c>
      <c r="E43">
        <v>2024</v>
      </c>
      <c r="F43">
        <v>2</v>
      </c>
      <c r="G43">
        <v>25</v>
      </c>
      <c r="H43">
        <v>56</v>
      </c>
      <c r="I43" t="s">
        <v>155</v>
      </c>
      <c r="J43">
        <v>-56.153983533333303</v>
      </c>
      <c r="K43">
        <v>-64.783948033333303</v>
      </c>
      <c r="L43" t="s">
        <v>226</v>
      </c>
      <c r="M43" t="s">
        <v>138</v>
      </c>
      <c r="N43" t="s">
        <v>138</v>
      </c>
      <c r="O43" t="s">
        <v>138</v>
      </c>
      <c r="P43" t="s">
        <v>138</v>
      </c>
      <c r="Q43">
        <v>2.668520013428571E-2</v>
      </c>
      <c r="R43">
        <v>0</v>
      </c>
      <c r="S43">
        <v>1.033863035178993E-2</v>
      </c>
      <c r="T43">
        <v>5.7137965943375004E-3</v>
      </c>
      <c r="U43">
        <v>6.8393332630777926E-4</v>
      </c>
      <c r="V43">
        <v>3.613208198501478E-3</v>
      </c>
      <c r="W43">
        <v>7.7874039442822618E-4</v>
      </c>
      <c r="X43">
        <v>7.8617086482523791E-3</v>
      </c>
      <c r="Y43">
        <v>6.9910956026632748E-2</v>
      </c>
      <c r="Z43">
        <v>7.7772664674885125E-2</v>
      </c>
      <c r="AA43">
        <v>5.7485438559613612E-2</v>
      </c>
      <c r="AB43">
        <v>0.65453327194022803</v>
      </c>
      <c r="AC43">
        <v>0.27033366605458592</v>
      </c>
      <c r="AD43">
        <v>7.513306200518613E-2</v>
      </c>
      <c r="AE43">
        <v>5.0904796677162752E-2</v>
      </c>
      <c r="AF43">
        <v>2.1024569560395692E-2</v>
      </c>
      <c r="AG43">
        <v>5.8432984373266933E-3</v>
      </c>
      <c r="AH43">
        <v>8.5295517845460633E-2</v>
      </c>
      <c r="AI43">
        <v>3.3787159344621648E-2</v>
      </c>
      <c r="AJ43">
        <v>0.55637170176633521</v>
      </c>
      <c r="AK43">
        <v>0.40984113888904311</v>
      </c>
      <c r="AL43">
        <v>2.6277174140261709E-3</v>
      </c>
      <c r="AM43">
        <v>4.3270509796068377E-2</v>
      </c>
      <c r="AN43">
        <v>3.1874437464790573E-2</v>
      </c>
      <c r="AO43">
        <v>7.0839861254601955E-2</v>
      </c>
      <c r="AP43">
        <v>6.0606090836409809E-4</v>
      </c>
      <c r="AQ43">
        <v>0.1072606328725693</v>
      </c>
      <c r="AR43">
        <v>0.25217201635278841</v>
      </c>
      <c r="AS43">
        <v>0.64056735077464233</v>
      </c>
      <c r="AT43">
        <v>8.3419452332142933E-3</v>
      </c>
      <c r="AU43">
        <v>1.9612089668195061E-2</v>
      </c>
      <c r="AV43">
        <v>4.9818629773475773E-2</v>
      </c>
      <c r="AW43">
        <v>5.676143491563998E-2</v>
      </c>
      <c r="AX43">
        <v>4.9691105756772391E-3</v>
      </c>
      <c r="AY43">
        <v>0.1063973650131706</v>
      </c>
      <c r="AZ43">
        <v>0.39624176896664542</v>
      </c>
      <c r="BA43">
        <v>0.49736086602018409</v>
      </c>
      <c r="BB43">
        <v>8.2748065914606712E-3</v>
      </c>
      <c r="BC43">
        <v>3.0816778228026209E-2</v>
      </c>
      <c r="BD43">
        <v>3.8681079855398252E-2</v>
      </c>
    </row>
    <row r="44" spans="1:56" x14ac:dyDescent="0.25">
      <c r="A44" t="s">
        <v>137</v>
      </c>
      <c r="B44" t="s">
        <v>46</v>
      </c>
      <c r="C44">
        <v>2.2000000000000002</v>
      </c>
      <c r="D44">
        <v>2.2000000000000002</v>
      </c>
      <c r="E44">
        <v>2024</v>
      </c>
      <c r="F44">
        <v>2</v>
      </c>
      <c r="G44">
        <v>29</v>
      </c>
      <c r="H44">
        <v>60</v>
      </c>
      <c r="I44" t="s">
        <v>135</v>
      </c>
      <c r="J44">
        <v>-56.547502199999897</v>
      </c>
      <c r="K44">
        <v>-64.698362766666605</v>
      </c>
      <c r="L44" t="s">
        <v>227</v>
      </c>
      <c r="M44">
        <v>1.8573230815915149</v>
      </c>
      <c r="N44">
        <v>0.46601207366185521</v>
      </c>
      <c r="O44">
        <v>1.2307314987025959</v>
      </c>
      <c r="P44">
        <v>1.3323376781910601</v>
      </c>
      <c r="Q44">
        <v>0.10014356205880889</v>
      </c>
      <c r="R44">
        <v>0</v>
      </c>
      <c r="S44">
        <v>8.5623830395265235E-2</v>
      </c>
      <c r="T44">
        <v>1.303050503276376E-2</v>
      </c>
      <c r="U44">
        <v>0.68810581122850822</v>
      </c>
      <c r="V44">
        <v>1.752940962869904E-2</v>
      </c>
      <c r="W44">
        <v>5.5983540032536663E-3</v>
      </c>
      <c r="X44">
        <v>0.14559329230972429</v>
      </c>
      <c r="Y44">
        <v>1.946100398290278</v>
      </c>
      <c r="Z44">
        <v>2.0916936906000019</v>
      </c>
      <c r="AA44">
        <v>0.68988813877126376</v>
      </c>
      <c r="AB44">
        <v>0.2046743733765467</v>
      </c>
      <c r="AC44">
        <v>0.76268368526772501</v>
      </c>
      <c r="AD44">
        <v>3.2641941355728357E-2</v>
      </c>
      <c r="AE44">
        <v>0.42811609541923179</v>
      </c>
      <c r="AF44">
        <v>1.595300652398058</v>
      </c>
      <c r="AG44">
        <v>6.8276942782712291E-2</v>
      </c>
      <c r="AH44">
        <v>2.1784553498171442</v>
      </c>
      <c r="AI44">
        <v>7.6881633639358021E-3</v>
      </c>
      <c r="AJ44">
        <v>0.93209115490024119</v>
      </c>
      <c r="AK44">
        <v>6.0220681735823213E-2</v>
      </c>
      <c r="AL44">
        <v>1.60812828006466E-2</v>
      </c>
      <c r="AM44">
        <v>1.9496491877689039</v>
      </c>
      <c r="AN44">
        <v>0.12596322003045221</v>
      </c>
      <c r="AO44">
        <v>1.535680990505119</v>
      </c>
      <c r="AP44">
        <v>3.0371020868229632E-3</v>
      </c>
      <c r="AQ44">
        <v>2.4109588860828379E-2</v>
      </c>
      <c r="AR44">
        <v>0.86586414826560498</v>
      </c>
      <c r="AS44">
        <v>0.1100262628735667</v>
      </c>
      <c r="AT44">
        <v>5.0429874903154807E-2</v>
      </c>
      <c r="AU44">
        <v>1.81112257584391</v>
      </c>
      <c r="AV44">
        <v>0.23014123985293669</v>
      </c>
      <c r="AW44">
        <v>1.359418636589927</v>
      </c>
      <c r="AX44">
        <v>1.528396348677662E-2</v>
      </c>
      <c r="AY44">
        <v>2.2245823327599359E-2</v>
      </c>
      <c r="AZ44">
        <v>0.8966036942717982</v>
      </c>
      <c r="BA44">
        <v>8.1150482400602533E-2</v>
      </c>
      <c r="BB44">
        <v>4.6531448296541912E-2</v>
      </c>
      <c r="BC44">
        <v>1.875420290276973</v>
      </c>
      <c r="BD44">
        <v>0.16974195202648679</v>
      </c>
    </row>
    <row r="45" spans="1:56" x14ac:dyDescent="0.25">
      <c r="A45" t="s">
        <v>136</v>
      </c>
      <c r="B45" t="s">
        <v>46</v>
      </c>
      <c r="C45">
        <v>60</v>
      </c>
      <c r="D45">
        <v>60</v>
      </c>
      <c r="E45">
        <v>2024</v>
      </c>
      <c r="F45">
        <v>2</v>
      </c>
      <c r="G45">
        <v>29</v>
      </c>
      <c r="H45">
        <v>60</v>
      </c>
      <c r="I45" t="s">
        <v>135</v>
      </c>
      <c r="J45">
        <v>-56.547502199999897</v>
      </c>
      <c r="K45">
        <v>-64.698362766666605</v>
      </c>
      <c r="L45" t="s">
        <v>227</v>
      </c>
      <c r="M45" t="s">
        <v>138</v>
      </c>
      <c r="N45" t="s">
        <v>138</v>
      </c>
      <c r="O45" t="s">
        <v>138</v>
      </c>
      <c r="P45" t="s">
        <v>138</v>
      </c>
      <c r="Q45">
        <v>6.2347634993878437E-2</v>
      </c>
      <c r="R45">
        <v>0</v>
      </c>
      <c r="S45">
        <v>1.6046948718641391E-2</v>
      </c>
      <c r="T45">
        <v>8.9306536716349666E-3</v>
      </c>
      <c r="U45">
        <v>3.798872668004034E-3</v>
      </c>
      <c r="V45">
        <v>3.2963574340510089E-3</v>
      </c>
      <c r="W45">
        <v>1.072293172245977E-3</v>
      </c>
      <c r="X45">
        <v>9.1735565854328717E-3</v>
      </c>
      <c r="Y45">
        <v>0.1560855308013103</v>
      </c>
      <c r="Z45">
        <v>0.16525908738674319</v>
      </c>
      <c r="AA45">
        <v>0.11794633573644089</v>
      </c>
      <c r="AB45">
        <v>0.74534036850292518</v>
      </c>
      <c r="AC45">
        <v>0.21861363557886901</v>
      </c>
      <c r="AD45">
        <v>3.6045995918205627E-2</v>
      </c>
      <c r="AE45">
        <v>0.1231742690912923</v>
      </c>
      <c r="AF45">
        <v>3.6127889906061951E-2</v>
      </c>
      <c r="AG45">
        <v>5.9569283893889319E-3</v>
      </c>
      <c r="AH45">
        <v>0.19206913452253199</v>
      </c>
      <c r="AI45">
        <v>1.6552235858827719E-2</v>
      </c>
      <c r="AJ45">
        <v>0.55820816463436418</v>
      </c>
      <c r="AK45">
        <v>0.42523959950680812</v>
      </c>
      <c r="AL45">
        <v>2.735407392239994E-3</v>
      </c>
      <c r="AM45">
        <v>9.2248971859303919E-2</v>
      </c>
      <c r="AN45">
        <v>7.0274708135199274E-2</v>
      </c>
      <c r="AO45">
        <v>0.14696367784729669</v>
      </c>
      <c r="AP45">
        <v>1.165993774399307E-3</v>
      </c>
      <c r="AQ45">
        <v>4.7513108232103571E-2</v>
      </c>
      <c r="AR45">
        <v>0.22811705235419241</v>
      </c>
      <c r="AS45">
        <v>0.72436983941370403</v>
      </c>
      <c r="AT45">
        <v>7.8519729053449921E-3</v>
      </c>
      <c r="AU45">
        <v>3.7698415889407748E-2</v>
      </c>
      <c r="AV45">
        <v>0.1197086985919904</v>
      </c>
      <c r="AW45">
        <v>0.1165333548271299</v>
      </c>
      <c r="AX45">
        <v>7.9310238090180944E-3</v>
      </c>
      <c r="AY45">
        <v>4.9017805854815598E-2</v>
      </c>
      <c r="AZ45">
        <v>0.34393200971293098</v>
      </c>
      <c r="BA45">
        <v>0.60705018443225356</v>
      </c>
      <c r="BB45">
        <v>8.1006378612673846E-3</v>
      </c>
      <c r="BC45">
        <v>5.6837890048247471E-2</v>
      </c>
      <c r="BD45">
        <v>0.1003205594772284</v>
      </c>
    </row>
    <row r="46" spans="1:56" x14ac:dyDescent="0.25">
      <c r="A46" t="s">
        <v>188</v>
      </c>
      <c r="B46" t="s">
        <v>228</v>
      </c>
      <c r="C46" t="s">
        <v>229</v>
      </c>
      <c r="D46" t="s">
        <v>138</v>
      </c>
      <c r="E46">
        <v>2024</v>
      </c>
      <c r="F46">
        <v>2</v>
      </c>
      <c r="G46">
        <v>25</v>
      </c>
      <c r="H46">
        <v>56</v>
      </c>
      <c r="I46" t="s">
        <v>187</v>
      </c>
      <c r="J46">
        <v>-56.966940000000001</v>
      </c>
      <c r="K46">
        <v>-65.101740000000007</v>
      </c>
      <c r="L46" t="s">
        <v>138</v>
      </c>
      <c r="M46" t="s">
        <v>138</v>
      </c>
      <c r="N46" t="s">
        <v>138</v>
      </c>
      <c r="O46" t="s">
        <v>138</v>
      </c>
      <c r="P46" t="s">
        <v>138</v>
      </c>
      <c r="Q46">
        <v>27.948309858445569</v>
      </c>
      <c r="R46">
        <v>0</v>
      </c>
      <c r="S46">
        <v>1.163890014493967E-2</v>
      </c>
      <c r="T46">
        <v>3.1360877594095991E-3</v>
      </c>
      <c r="U46">
        <v>0</v>
      </c>
      <c r="V46">
        <v>3.6665829496023997E-2</v>
      </c>
      <c r="W46">
        <v>1.696327061690743E-2</v>
      </c>
      <c r="X46">
        <v>0</v>
      </c>
      <c r="Y46">
        <v>42.353093408067821</v>
      </c>
      <c r="Z46">
        <v>42.353093408067821</v>
      </c>
      <c r="AA46">
        <v>39.474616834829632</v>
      </c>
      <c r="AB46">
        <v>0.99829004206161598</v>
      </c>
      <c r="AC46">
        <v>4.0225935482307698E-4</v>
      </c>
      <c r="AD46">
        <v>1.3076985835611191E-3</v>
      </c>
      <c r="AE46">
        <v>42.280671399779578</v>
      </c>
      <c r="AF46">
        <v>1.7036928029090879E-2</v>
      </c>
      <c r="AG46">
        <v>5.538508025916207E-2</v>
      </c>
      <c r="AH46">
        <v>73.294947723317478</v>
      </c>
      <c r="AI46">
        <v>5.8690418012462059E-4</v>
      </c>
      <c r="AJ46">
        <v>0.49989318275885308</v>
      </c>
      <c r="AK46">
        <v>0.499519913061022</v>
      </c>
      <c r="AL46">
        <v>2.4857207562403519E-2</v>
      </c>
      <c r="AM46">
        <v>21.172022663442021</v>
      </c>
      <c r="AN46">
        <v>21.15621353706338</v>
      </c>
      <c r="AO46">
        <v>48.729123216087203</v>
      </c>
      <c r="AP46">
        <v>3.1350395398211842E-4</v>
      </c>
      <c r="AQ46">
        <v>1.7013845616892999E-3</v>
      </c>
      <c r="AR46">
        <v>3.4276383864455088E-4</v>
      </c>
      <c r="AS46">
        <v>0.99795585159966604</v>
      </c>
      <c r="AT46">
        <v>7.2058899264271462E-2</v>
      </c>
      <c r="AU46">
        <v>1.451710887502055E-2</v>
      </c>
      <c r="AV46">
        <v>42.266517399928517</v>
      </c>
      <c r="AW46">
        <v>36.417330574531569</v>
      </c>
      <c r="AX46">
        <v>3.0557116129991532E-3</v>
      </c>
      <c r="AY46">
        <v>1.9244817600877269E-3</v>
      </c>
      <c r="AZ46">
        <v>5.0568492849204698E-4</v>
      </c>
      <c r="BA46">
        <v>0.99756983331142024</v>
      </c>
      <c r="BB46">
        <v>8.1507755747118271E-2</v>
      </c>
      <c r="BC46">
        <v>2.1417321011475761E-2</v>
      </c>
      <c r="BD46">
        <v>42.250168331309233</v>
      </c>
    </row>
    <row r="47" spans="1:56" x14ac:dyDescent="0.25">
      <c r="A47" t="s">
        <v>193</v>
      </c>
      <c r="B47" t="s">
        <v>228</v>
      </c>
      <c r="C47" t="s">
        <v>230</v>
      </c>
      <c r="D47" t="s">
        <v>138</v>
      </c>
      <c r="E47">
        <v>2024</v>
      </c>
      <c r="F47">
        <v>2</v>
      </c>
      <c r="G47">
        <v>25</v>
      </c>
      <c r="H47">
        <v>56</v>
      </c>
      <c r="I47" t="s">
        <v>187</v>
      </c>
      <c r="J47">
        <v>-56.966940000000001</v>
      </c>
      <c r="K47">
        <v>-65.101740000000007</v>
      </c>
      <c r="L47" t="s">
        <v>138</v>
      </c>
      <c r="M47" t="s">
        <v>138</v>
      </c>
      <c r="N47" t="s">
        <v>138</v>
      </c>
      <c r="O47" t="s">
        <v>138</v>
      </c>
      <c r="P47" t="s">
        <v>138</v>
      </c>
      <c r="Q47">
        <v>17.873775130063301</v>
      </c>
      <c r="R47">
        <v>0</v>
      </c>
      <c r="S47">
        <v>8.6963846655675348E-3</v>
      </c>
      <c r="T47">
        <v>2.570449658616589E-3</v>
      </c>
      <c r="U47">
        <v>7.2859045478531018E-2</v>
      </c>
      <c r="V47">
        <v>3.1694014452374471E-2</v>
      </c>
      <c r="W47">
        <v>1.2319180571969139E-2</v>
      </c>
      <c r="X47">
        <v>0</v>
      </c>
      <c r="Y47">
        <v>29.00694600331186</v>
      </c>
      <c r="Z47">
        <v>29.00694600331186</v>
      </c>
      <c r="AA47">
        <v>25.30028787647095</v>
      </c>
      <c r="AB47">
        <v>0.99611605434841377</v>
      </c>
      <c r="AC47">
        <v>2.1999549358751782E-3</v>
      </c>
      <c r="AD47">
        <v>1.683990715710961E-3</v>
      </c>
      <c r="AE47">
        <v>28.8942846015165</v>
      </c>
      <c r="AF47">
        <v>6.3813974034650681E-2</v>
      </c>
      <c r="AG47">
        <v>4.8847427760706337E-2</v>
      </c>
      <c r="AH47">
        <v>47.07772210354284</v>
      </c>
      <c r="AI47">
        <v>7.1416669625735604E-4</v>
      </c>
      <c r="AJ47">
        <v>0.50192435585407547</v>
      </c>
      <c r="AK47">
        <v>0.4973614774496673</v>
      </c>
      <c r="AL47">
        <v>2.0715794795700751E-2</v>
      </c>
      <c r="AM47">
        <v>14.55929268800625</v>
      </c>
      <c r="AN47">
        <v>14.42693752050991</v>
      </c>
      <c r="AO47">
        <v>31.310025204169971</v>
      </c>
      <c r="AP47">
        <v>2.2740791120071761E-4</v>
      </c>
      <c r="AQ47">
        <v>2.2110264386134872E-3</v>
      </c>
      <c r="AR47">
        <v>4.4977566510068217E-3</v>
      </c>
      <c r="AS47">
        <v>0.99329121691037969</v>
      </c>
      <c r="AT47">
        <v>6.4135124516756348E-2</v>
      </c>
      <c r="AU47">
        <v>0.13046618431179169</v>
      </c>
      <c r="AV47">
        <v>28.812344694483311</v>
      </c>
      <c r="AW47">
        <v>23.420994316603061</v>
      </c>
      <c r="AX47">
        <v>2.4343077720947672E-3</v>
      </c>
      <c r="AY47">
        <v>2.4565179811936819E-3</v>
      </c>
      <c r="AZ47">
        <v>5.5811957503295413E-3</v>
      </c>
      <c r="BA47">
        <v>0.99196228626847671</v>
      </c>
      <c r="BB47">
        <v>7.1256084436649797E-2</v>
      </c>
      <c r="BC47">
        <v>0.16189344376372261</v>
      </c>
      <c r="BD47">
        <v>28.773796475111489</v>
      </c>
    </row>
    <row r="48" spans="1:56" x14ac:dyDescent="0.25">
      <c r="A48" t="s">
        <v>189</v>
      </c>
      <c r="B48" t="s">
        <v>231</v>
      </c>
      <c r="C48" t="s">
        <v>232</v>
      </c>
      <c r="D48" t="s">
        <v>138</v>
      </c>
      <c r="E48">
        <v>2024</v>
      </c>
      <c r="F48">
        <v>2</v>
      </c>
      <c r="G48">
        <v>26</v>
      </c>
      <c r="H48">
        <v>57</v>
      </c>
      <c r="I48" t="s">
        <v>138</v>
      </c>
      <c r="J48">
        <v>-57.813380000000002</v>
      </c>
      <c r="K48">
        <v>-65.414500000000004</v>
      </c>
      <c r="L48" t="s">
        <v>138</v>
      </c>
      <c r="M48" t="s">
        <v>138</v>
      </c>
      <c r="N48" t="s">
        <v>138</v>
      </c>
      <c r="O48" t="s">
        <v>138</v>
      </c>
      <c r="P48" t="s">
        <v>138</v>
      </c>
      <c r="Q48">
        <v>7.7274811162906465E-2</v>
      </c>
      <c r="R48">
        <v>2.19227359862516E-2</v>
      </c>
      <c r="S48">
        <v>4.4688565018095518E-2</v>
      </c>
      <c r="T48">
        <v>1.7434179474871778E-2</v>
      </c>
      <c r="U48">
        <v>6.4009787900294046E-2</v>
      </c>
      <c r="V48">
        <v>4.6439027848749287E-2</v>
      </c>
      <c r="W48">
        <v>1.841854759452443E-3</v>
      </c>
      <c r="X48">
        <v>4.3958613123092939E-2</v>
      </c>
      <c r="Y48">
        <v>0.4841302889022352</v>
      </c>
      <c r="Z48">
        <v>0.5280889020253281</v>
      </c>
      <c r="AA48">
        <v>0.28961826783004158</v>
      </c>
      <c r="AB48">
        <v>0.48294101932269251</v>
      </c>
      <c r="AC48">
        <v>0.3496406282934722</v>
      </c>
      <c r="AD48">
        <v>0.16741835238383521</v>
      </c>
      <c r="AE48">
        <v>0.2550357926371134</v>
      </c>
      <c r="AF48">
        <v>0.1846413354989456</v>
      </c>
      <c r="AG48">
        <v>8.8411773889269019E-2</v>
      </c>
      <c r="AH48">
        <v>0.48571521378337851</v>
      </c>
      <c r="AI48">
        <v>5.0700413790749979E-2</v>
      </c>
      <c r="AJ48">
        <v>0.72599073686518989</v>
      </c>
      <c r="AK48">
        <v>0.22330884934406031</v>
      </c>
      <c r="AL48">
        <v>2.677432585098696E-2</v>
      </c>
      <c r="AM48">
        <v>0.38338765111169698</v>
      </c>
      <c r="AN48">
        <v>0.1179269250626442</v>
      </c>
      <c r="AO48">
        <v>0.43001757468129942</v>
      </c>
      <c r="AP48">
        <v>3.480059276186095E-3</v>
      </c>
      <c r="AQ48">
        <v>0.19668265554794401</v>
      </c>
      <c r="AR48">
        <v>0.42722707162575102</v>
      </c>
      <c r="AS48">
        <v>0.37609027282630503</v>
      </c>
      <c r="AT48">
        <v>0.1038659276157395</v>
      </c>
      <c r="AU48">
        <v>0.2256138751703391</v>
      </c>
      <c r="AV48">
        <v>0.19860909923924949</v>
      </c>
      <c r="AW48">
        <v>0.34593050605673981</v>
      </c>
      <c r="AX48">
        <v>1.7188206690293119E-2</v>
      </c>
      <c r="AY48">
        <v>0.18278104001263989</v>
      </c>
      <c r="AZ48">
        <v>0.5337450429868108</v>
      </c>
      <c r="BA48">
        <v>0.28347391700054941</v>
      </c>
      <c r="BB48">
        <v>9.6524638731322582E-2</v>
      </c>
      <c r="BC48">
        <v>0.28186483371236648</v>
      </c>
      <c r="BD48">
        <v>0.14969942958163909</v>
      </c>
    </row>
    <row r="49" spans="1:56" x14ac:dyDescent="0.25">
      <c r="A49" t="s">
        <v>190</v>
      </c>
      <c r="B49" t="s">
        <v>231</v>
      </c>
      <c r="C49" t="s">
        <v>233</v>
      </c>
      <c r="D49" t="s">
        <v>138</v>
      </c>
      <c r="E49">
        <v>2024</v>
      </c>
      <c r="F49">
        <v>2</v>
      </c>
      <c r="G49">
        <v>27</v>
      </c>
      <c r="H49">
        <v>58</v>
      </c>
      <c r="I49" t="s">
        <v>138</v>
      </c>
      <c r="J49">
        <v>-57.813380000000002</v>
      </c>
      <c r="K49">
        <v>-65.414500000000004</v>
      </c>
      <c r="L49" t="s">
        <v>138</v>
      </c>
      <c r="M49" t="s">
        <v>138</v>
      </c>
      <c r="N49" t="s">
        <v>138</v>
      </c>
      <c r="O49" t="s">
        <v>138</v>
      </c>
      <c r="P49" t="s">
        <v>138</v>
      </c>
      <c r="Q49">
        <v>1.185284732849901</v>
      </c>
      <c r="R49">
        <v>0.16593234353354919</v>
      </c>
      <c r="S49">
        <v>4.7568497805621682E-2</v>
      </c>
      <c r="T49">
        <v>0</v>
      </c>
      <c r="U49">
        <v>3.252846250152331E-2</v>
      </c>
      <c r="V49">
        <v>1.18005470693414E-2</v>
      </c>
      <c r="W49">
        <v>4.7697450763457636E-3</v>
      </c>
      <c r="X49">
        <v>0</v>
      </c>
      <c r="Y49">
        <v>2.139171191899468</v>
      </c>
      <c r="Z49">
        <v>2.139171191899468</v>
      </c>
      <c r="AA49">
        <v>2.0011656807204101</v>
      </c>
      <c r="AB49">
        <v>0.95205314385303463</v>
      </c>
      <c r="AC49">
        <v>3.9941255481295013E-2</v>
      </c>
      <c r="AD49">
        <v>8.0056006656704475E-3</v>
      </c>
      <c r="AE49">
        <v>2.036604658487732</v>
      </c>
      <c r="AF49">
        <v>8.5441183093883002E-2</v>
      </c>
      <c r="AG49">
        <v>1.7125350317853429E-2</v>
      </c>
      <c r="AH49">
        <v>3.470078954387164</v>
      </c>
      <c r="AI49">
        <v>3.6876018692479332E-3</v>
      </c>
      <c r="AJ49">
        <v>0.53307202391185149</v>
      </c>
      <c r="AK49">
        <v>0.46324037421890069</v>
      </c>
      <c r="AL49">
        <v>7.8884116858898064E-3</v>
      </c>
      <c r="AM49">
        <v>1.140332316759777</v>
      </c>
      <c r="AN49">
        <v>0.99095046345380144</v>
      </c>
      <c r="AO49">
        <v>2.4568131372743021</v>
      </c>
      <c r="AP49">
        <v>0.3890173986451082</v>
      </c>
      <c r="AQ49">
        <v>1.056877638306452E-2</v>
      </c>
      <c r="AR49">
        <v>0.3228268739250022</v>
      </c>
      <c r="AS49">
        <v>0.66660434969193327</v>
      </c>
      <c r="AT49">
        <v>2.260842197227908E-2</v>
      </c>
      <c r="AU49">
        <v>0.69058194867132627</v>
      </c>
      <c r="AV49">
        <v>1.4259808212558629</v>
      </c>
      <c r="AW49">
        <v>1.8140933783446589</v>
      </c>
      <c r="AX49">
        <v>0.54383090897758191</v>
      </c>
      <c r="AY49">
        <v>1.193950957466736E-2</v>
      </c>
      <c r="AZ49">
        <v>0.44515105951817352</v>
      </c>
      <c r="BA49">
        <v>0.54290943090715915</v>
      </c>
      <c r="BB49">
        <v>2.5540654927536301E-2</v>
      </c>
      <c r="BC49">
        <v>0.95225432256480225</v>
      </c>
      <c r="BD49">
        <v>1.16137621440713</v>
      </c>
    </row>
    <row r="50" spans="1:56" x14ac:dyDescent="0.25">
      <c r="A50" t="s">
        <v>191</v>
      </c>
      <c r="B50" t="s">
        <v>216</v>
      </c>
      <c r="C50" t="s">
        <v>234</v>
      </c>
      <c r="D50" t="s">
        <v>138</v>
      </c>
      <c r="E50">
        <v>2024</v>
      </c>
      <c r="F50">
        <v>2</v>
      </c>
      <c r="G50">
        <v>27</v>
      </c>
      <c r="H50">
        <v>58</v>
      </c>
      <c r="I50" t="s">
        <v>138</v>
      </c>
      <c r="J50">
        <v>-57.673999999999999</v>
      </c>
      <c r="K50">
        <v>-65.366200000000006</v>
      </c>
      <c r="L50" t="s">
        <v>138</v>
      </c>
      <c r="M50" t="s">
        <v>138</v>
      </c>
      <c r="N50" t="s">
        <v>138</v>
      </c>
      <c r="O50" t="s">
        <v>138</v>
      </c>
      <c r="P50" t="s">
        <v>138</v>
      </c>
      <c r="Q50">
        <v>0.1215350348310542</v>
      </c>
      <c r="R50">
        <v>1.5856503098851421E-2</v>
      </c>
      <c r="S50">
        <v>7.5816804020694822E-2</v>
      </c>
      <c r="T50">
        <v>2.0375316044735432E-2</v>
      </c>
      <c r="U50">
        <v>0.4836893458809457</v>
      </c>
      <c r="V50">
        <v>6.5766236198186986E-2</v>
      </c>
      <c r="W50">
        <v>3.5211040846639089E-3</v>
      </c>
      <c r="X50">
        <v>0.15410405834075649</v>
      </c>
      <c r="Y50">
        <v>1.538399488692729</v>
      </c>
      <c r="Z50">
        <v>1.692503547033485</v>
      </c>
      <c r="AA50">
        <v>0.65680642580465387</v>
      </c>
      <c r="AB50">
        <v>0.29494545252634807</v>
      </c>
      <c r="AC50">
        <v>0.59931251246250838</v>
      </c>
      <c r="AD50">
        <v>0.1057420350111436</v>
      </c>
      <c r="AE50">
        <v>0.4991962245822405</v>
      </c>
      <c r="AF50">
        <v>1.014338553124345</v>
      </c>
      <c r="AG50">
        <v>0.17896876932689951</v>
      </c>
      <c r="AH50">
        <v>1.749425208206532</v>
      </c>
      <c r="AI50">
        <v>2.072807059812071E-2</v>
      </c>
      <c r="AJ50">
        <v>0.8852733172406394</v>
      </c>
      <c r="AK50">
        <v>9.3998612161239795E-2</v>
      </c>
      <c r="AL50">
        <v>3.5082333010479798E-2</v>
      </c>
      <c r="AM50">
        <v>1.498328229523882</v>
      </c>
      <c r="AN50">
        <v>0.15909298449912321</v>
      </c>
      <c r="AO50">
        <v>1.3128112035578421</v>
      </c>
      <c r="AP50">
        <v>4.912339196976815E-3</v>
      </c>
      <c r="AQ50">
        <v>9.1959794640421158E-2</v>
      </c>
      <c r="AR50">
        <v>0.73510949415122784</v>
      </c>
      <c r="AS50">
        <v>0.17293071120835091</v>
      </c>
      <c r="AT50">
        <v>0.1556422786133837</v>
      </c>
      <c r="AU50">
        <v>1.244175426308944</v>
      </c>
      <c r="AV50">
        <v>0.29268584211115711</v>
      </c>
      <c r="AW50">
        <v>1.1311000204973189</v>
      </c>
      <c r="AX50">
        <v>2.1811814494796369E-2</v>
      </c>
      <c r="AY50">
        <v>8.0215014663155615E-2</v>
      </c>
      <c r="AZ50">
        <v>0.79241375233682543</v>
      </c>
      <c r="BA50">
        <v>0.12737123300001879</v>
      </c>
      <c r="BB50">
        <v>0.13576419684273389</v>
      </c>
      <c r="BC50">
        <v>1.3411630865481901</v>
      </c>
      <c r="BD50">
        <v>0.2155762636425603</v>
      </c>
    </row>
    <row r="51" spans="1:56" x14ac:dyDescent="0.25">
      <c r="A51" t="s">
        <v>192</v>
      </c>
      <c r="B51" t="s">
        <v>216</v>
      </c>
      <c r="C51" t="s">
        <v>235</v>
      </c>
      <c r="D51" t="s">
        <v>138</v>
      </c>
      <c r="E51">
        <v>2024</v>
      </c>
      <c r="F51">
        <v>2</v>
      </c>
      <c r="G51">
        <v>28</v>
      </c>
      <c r="H51">
        <v>59</v>
      </c>
      <c r="I51" t="s">
        <v>138</v>
      </c>
      <c r="J51">
        <v>-57.673999999999999</v>
      </c>
      <c r="K51">
        <v>-65.366200000000006</v>
      </c>
      <c r="L51" t="s">
        <v>138</v>
      </c>
      <c r="M51" t="s">
        <v>138</v>
      </c>
      <c r="N51" t="s">
        <v>138</v>
      </c>
      <c r="O51" t="s">
        <v>138</v>
      </c>
      <c r="P51" t="s">
        <v>138</v>
      </c>
      <c r="Q51">
        <v>1.361694102659297</v>
      </c>
      <c r="R51">
        <v>3.0409213240332082E-2</v>
      </c>
      <c r="S51">
        <v>7.5987144794495046E-2</v>
      </c>
      <c r="T51">
        <v>1.7143039260989569E-2</v>
      </c>
      <c r="U51">
        <v>0</v>
      </c>
      <c r="V51">
        <v>2.7474857076776678E-3</v>
      </c>
      <c r="W51">
        <v>6.1724303803170648E-3</v>
      </c>
      <c r="X51">
        <v>0</v>
      </c>
      <c r="Y51">
        <v>2.1475117728561859</v>
      </c>
      <c r="Z51">
        <v>2.1475117728561859</v>
      </c>
      <c r="AA51">
        <v>2.073452663740659</v>
      </c>
      <c r="AB51">
        <v>0.94666529395338361</v>
      </c>
      <c r="AC51">
        <v>4.943625645421338E-2</v>
      </c>
      <c r="AD51">
        <v>3.8984495924032098E-3</v>
      </c>
      <c r="AE51">
        <v>2.0329748637192528</v>
      </c>
      <c r="AF51">
        <v>0.1061649427413608</v>
      </c>
      <c r="AG51">
        <v>8.3719663955722917E-3</v>
      </c>
      <c r="AH51">
        <v>3.6858522571591061</v>
      </c>
      <c r="AI51">
        <v>2.895778700830793E-3</v>
      </c>
      <c r="AJ51">
        <v>0.51041778090570289</v>
      </c>
      <c r="AK51">
        <v>0.48668644039346642</v>
      </c>
      <c r="AL51">
        <v>6.2187188516203192E-3</v>
      </c>
      <c r="AM51">
        <v>1.0961281935701259</v>
      </c>
      <c r="AN51">
        <v>1.045164860434439</v>
      </c>
      <c r="AO51">
        <v>2.5305323260463952</v>
      </c>
      <c r="AP51">
        <v>4.0231971046416149E-3</v>
      </c>
      <c r="AQ51">
        <v>4.4693569170349504E-3</v>
      </c>
      <c r="AR51">
        <v>4.3727200384622078E-2</v>
      </c>
      <c r="AS51">
        <v>0.95180344269834305</v>
      </c>
      <c r="AT51">
        <v>9.5979965964287824E-3</v>
      </c>
      <c r="AU51">
        <v>9.3904677620017446E-2</v>
      </c>
      <c r="AV51">
        <v>2.0440090986397399</v>
      </c>
      <c r="AW51">
        <v>1.9010622631616549</v>
      </c>
      <c r="AX51">
        <v>1.88418122550254E-2</v>
      </c>
      <c r="AY51">
        <v>6.1141426015890307E-3</v>
      </c>
      <c r="AZ51">
        <v>6.1049308097312183E-2</v>
      </c>
      <c r="BA51">
        <v>0.93283654930109883</v>
      </c>
      <c r="BB51">
        <v>1.3130193217833991E-2</v>
      </c>
      <c r="BC51">
        <v>0.13110410786370241</v>
      </c>
      <c r="BD51">
        <v>2.0032774717746502</v>
      </c>
    </row>
    <row r="52" spans="1:56" x14ac:dyDescent="0.25">
      <c r="A52" t="s">
        <v>331</v>
      </c>
      <c r="B52" t="s">
        <v>237</v>
      </c>
      <c r="C52" t="s">
        <v>111</v>
      </c>
      <c r="D52">
        <v>7</v>
      </c>
      <c r="E52">
        <v>2024</v>
      </c>
      <c r="F52">
        <v>1</v>
      </c>
      <c r="G52">
        <v>18</v>
      </c>
      <c r="H52">
        <v>18</v>
      </c>
      <c r="I52" t="s">
        <v>332</v>
      </c>
      <c r="J52">
        <v>-60.563567216666598</v>
      </c>
      <c r="K52">
        <v>-52.492203199999899</v>
      </c>
      <c r="L52" t="s">
        <v>138</v>
      </c>
      <c r="M52" t="s">
        <v>138</v>
      </c>
      <c r="N52" t="s">
        <v>138</v>
      </c>
      <c r="O52" t="s">
        <v>138</v>
      </c>
      <c r="P52" t="s">
        <v>138</v>
      </c>
      <c r="Q52">
        <v>0.14879999999999999</v>
      </c>
      <c r="R52">
        <v>0</v>
      </c>
      <c r="S52">
        <v>6.9099999999999995E-2</v>
      </c>
      <c r="T52">
        <v>1.3599999999999999E-2</v>
      </c>
      <c r="U52">
        <v>7.6399999999999996E-2</v>
      </c>
      <c r="V52">
        <v>8.6999999999999994E-3</v>
      </c>
      <c r="W52">
        <v>0</v>
      </c>
      <c r="X52" t="s">
        <v>138</v>
      </c>
      <c r="Y52" t="s">
        <v>138</v>
      </c>
      <c r="Z52">
        <v>0.47110000000000002</v>
      </c>
      <c r="AA52">
        <v>0.35695199999999988</v>
      </c>
      <c r="AB52">
        <v>0.58777650776575008</v>
      </c>
      <c r="AC52">
        <v>0.38760673704027432</v>
      </c>
      <c r="AD52">
        <v>2.4616755193975659E-2</v>
      </c>
      <c r="AE52">
        <v>0.27690151280844488</v>
      </c>
      <c r="AF52">
        <v>0.1826015338196732</v>
      </c>
      <c r="AG52">
        <v>1.159695337188194E-2</v>
      </c>
      <c r="AH52">
        <v>0.65984699999999996</v>
      </c>
      <c r="AI52">
        <v>6.1968910974816889E-3</v>
      </c>
      <c r="AJ52">
        <v>0.69838917203533546</v>
      </c>
      <c r="AK52">
        <v>0.29541393686718292</v>
      </c>
      <c r="AL52">
        <v>2.9193553960236238E-3</v>
      </c>
      <c r="AM52">
        <v>0.32901113894584649</v>
      </c>
      <c r="AN52">
        <v>0.13916950565812991</v>
      </c>
      <c r="AO52">
        <v>0.50202599999999997</v>
      </c>
      <c r="AP52">
        <v>2.986368034882423E-3</v>
      </c>
      <c r="AQ52">
        <v>3.0847007923892389E-2</v>
      </c>
      <c r="AR52">
        <v>0.46376936728515139</v>
      </c>
      <c r="AS52">
        <v>0.50538362479095622</v>
      </c>
      <c r="AT52">
        <v>1.4532025432945709E-2</v>
      </c>
      <c r="AU52">
        <v>0.21848174892803479</v>
      </c>
      <c r="AV52">
        <v>0.23808622563901949</v>
      </c>
      <c r="AW52">
        <v>0.40871099999999999</v>
      </c>
      <c r="AX52">
        <v>1.518461138344666E-2</v>
      </c>
      <c r="AY52">
        <v>2.7885229416384681E-2</v>
      </c>
      <c r="AZ52">
        <v>0.54712007946563868</v>
      </c>
      <c r="BA52">
        <v>0.42499469111797672</v>
      </c>
      <c r="BB52">
        <v>1.313673157805882E-2</v>
      </c>
      <c r="BC52">
        <v>0.25774826943626239</v>
      </c>
      <c r="BD52">
        <v>0.20021499898567879</v>
      </c>
    </row>
    <row r="53" spans="1:56" x14ac:dyDescent="0.25">
      <c r="A53" t="s">
        <v>333</v>
      </c>
      <c r="B53" t="s">
        <v>207</v>
      </c>
      <c r="C53" t="s">
        <v>111</v>
      </c>
      <c r="D53">
        <v>7</v>
      </c>
      <c r="E53">
        <v>2024</v>
      </c>
      <c r="F53">
        <v>1</v>
      </c>
      <c r="G53">
        <v>29</v>
      </c>
      <c r="H53">
        <v>29</v>
      </c>
      <c r="I53" t="s">
        <v>334</v>
      </c>
      <c r="J53">
        <v>-55.031055816666601</v>
      </c>
      <c r="K53">
        <v>-64.572104800000005</v>
      </c>
      <c r="L53" t="s">
        <v>330</v>
      </c>
      <c r="M53" t="s">
        <v>138</v>
      </c>
      <c r="N53" t="s">
        <v>138</v>
      </c>
      <c r="O53" t="s">
        <v>138</v>
      </c>
      <c r="P53" t="s">
        <v>138</v>
      </c>
      <c r="Q53">
        <v>0.14940000000000001</v>
      </c>
      <c r="R53">
        <v>0</v>
      </c>
      <c r="S53">
        <v>6.6799999999999998E-2</v>
      </c>
      <c r="T53">
        <v>1.18E-2</v>
      </c>
      <c r="U53">
        <v>7.1199999999999999E-2</v>
      </c>
      <c r="V53">
        <v>0</v>
      </c>
      <c r="W53">
        <v>0</v>
      </c>
      <c r="X53" t="s">
        <v>138</v>
      </c>
      <c r="Y53" t="s">
        <v>138</v>
      </c>
      <c r="Z53">
        <v>0.50419999999999998</v>
      </c>
      <c r="AA53">
        <v>0.34233999999999998</v>
      </c>
      <c r="AB53">
        <v>0.61533563124379265</v>
      </c>
      <c r="AC53">
        <v>0.38466436875620719</v>
      </c>
      <c r="AD53">
        <v>0</v>
      </c>
      <c r="AE53">
        <v>0.31025222527312019</v>
      </c>
      <c r="AF53">
        <v>0.19394777472687971</v>
      </c>
      <c r="AG53">
        <v>0</v>
      </c>
      <c r="AH53">
        <v>0.63751200000000008</v>
      </c>
      <c r="AI53">
        <v>0</v>
      </c>
      <c r="AJ53">
        <v>0.69300342581786689</v>
      </c>
      <c r="AK53">
        <v>0.30699657418213311</v>
      </c>
      <c r="AL53">
        <v>0</v>
      </c>
      <c r="AM53">
        <v>0.34941232729736849</v>
      </c>
      <c r="AN53">
        <v>0.1547876727026315</v>
      </c>
      <c r="AO53">
        <v>0.47459000000000012</v>
      </c>
      <c r="AP53">
        <v>2.50647762365264E-3</v>
      </c>
      <c r="AQ53">
        <v>0</v>
      </c>
      <c r="AR53">
        <v>0.4614409723448778</v>
      </c>
      <c r="AS53">
        <v>0.53855902765512209</v>
      </c>
      <c r="AT53">
        <v>0</v>
      </c>
      <c r="AU53">
        <v>0.23265853825628741</v>
      </c>
      <c r="AV53">
        <v>0.27154146174371258</v>
      </c>
      <c r="AW53">
        <v>0.38595200000000007</v>
      </c>
      <c r="AX53">
        <v>1.3367647926503049E-2</v>
      </c>
      <c r="AY53">
        <v>0</v>
      </c>
      <c r="AZ53">
        <v>0.54180297628838292</v>
      </c>
      <c r="BA53">
        <v>0.45819702371161702</v>
      </c>
      <c r="BB53">
        <v>0</v>
      </c>
      <c r="BC53">
        <v>0.27317706064460268</v>
      </c>
      <c r="BD53">
        <v>0.23102293935539731</v>
      </c>
    </row>
    <row r="54" spans="1:56" x14ac:dyDescent="0.25">
      <c r="A54" t="s">
        <v>335</v>
      </c>
      <c r="B54" t="s">
        <v>207</v>
      </c>
      <c r="C54" t="s">
        <v>111</v>
      </c>
      <c r="D54">
        <v>7</v>
      </c>
      <c r="E54">
        <v>2024</v>
      </c>
      <c r="F54">
        <v>1</v>
      </c>
      <c r="G54">
        <v>29</v>
      </c>
      <c r="H54">
        <v>29</v>
      </c>
      <c r="I54" t="s">
        <v>336</v>
      </c>
      <c r="J54">
        <v>-55.0479871</v>
      </c>
      <c r="K54">
        <v>-64.575064400000002</v>
      </c>
      <c r="L54" t="s">
        <v>337</v>
      </c>
      <c r="M54">
        <v>3.1034888890493231</v>
      </c>
      <c r="N54">
        <v>0.2096020477971885</v>
      </c>
      <c r="O54">
        <v>0.39074099778740901</v>
      </c>
      <c r="P54">
        <v>0.42960310633552479</v>
      </c>
      <c r="Q54">
        <v>0.22869999999999999</v>
      </c>
      <c r="R54">
        <v>0</v>
      </c>
      <c r="S54">
        <v>7.2400000000000006E-2</v>
      </c>
      <c r="T54">
        <v>1.5900000000000001E-2</v>
      </c>
      <c r="U54">
        <v>0.1016</v>
      </c>
      <c r="V54">
        <v>1.35E-2</v>
      </c>
      <c r="W54">
        <v>2.7000000000000001E-3</v>
      </c>
      <c r="X54" t="s">
        <v>138</v>
      </c>
      <c r="Y54" t="s">
        <v>138</v>
      </c>
      <c r="Z54">
        <v>0.73250000000000004</v>
      </c>
      <c r="AA54">
        <v>0.49689699999999998</v>
      </c>
      <c r="AB54">
        <v>0.64896145478841682</v>
      </c>
      <c r="AC54">
        <v>0.31892525010213391</v>
      </c>
      <c r="AD54">
        <v>3.2113295109449241E-2</v>
      </c>
      <c r="AE54">
        <v>0.47536426563251533</v>
      </c>
      <c r="AF54">
        <v>0.23361274569981311</v>
      </c>
      <c r="AG54">
        <v>2.3522988667671569E-2</v>
      </c>
      <c r="AH54">
        <v>0.94720000000000004</v>
      </c>
      <c r="AI54">
        <v>1.103146114864865E-2</v>
      </c>
      <c r="AJ54">
        <v>0.67267103040540532</v>
      </c>
      <c r="AK54">
        <v>0.31629750844594601</v>
      </c>
      <c r="AL54">
        <v>8.0805452913851345E-3</v>
      </c>
      <c r="AM54">
        <v>0.49273152977195939</v>
      </c>
      <c r="AN54">
        <v>0.23168792493665541</v>
      </c>
      <c r="AO54">
        <v>0.70211299999999999</v>
      </c>
      <c r="AP54">
        <v>3.6319479816087261E-3</v>
      </c>
      <c r="AQ54">
        <v>3.8224616265472938E-2</v>
      </c>
      <c r="AR54">
        <v>0.4040041837823814</v>
      </c>
      <c r="AS54">
        <v>0.55777119995214564</v>
      </c>
      <c r="AT54">
        <v>2.799953141445893E-2</v>
      </c>
      <c r="AU54">
        <v>0.29593306462059438</v>
      </c>
      <c r="AV54">
        <v>0.40856740396494667</v>
      </c>
      <c r="AW54">
        <v>0.56795099999999998</v>
      </c>
      <c r="AX54">
        <v>1.7503917950750941E-2</v>
      </c>
      <c r="AY54">
        <v>3.7318360210651977E-2</v>
      </c>
      <c r="AZ54">
        <v>0.47926862235646428</v>
      </c>
      <c r="BA54">
        <v>0.48341301743288378</v>
      </c>
      <c r="BB54">
        <v>2.7335698854302579E-2</v>
      </c>
      <c r="BC54">
        <v>0.35106426587611012</v>
      </c>
      <c r="BD54">
        <v>0.35410003526958739</v>
      </c>
    </row>
    <row r="55" spans="1:56" x14ac:dyDescent="0.25">
      <c r="A55" t="s">
        <v>338</v>
      </c>
      <c r="B55" t="s">
        <v>207</v>
      </c>
      <c r="C55" t="s">
        <v>164</v>
      </c>
      <c r="D55">
        <v>7</v>
      </c>
      <c r="E55">
        <v>2024</v>
      </c>
      <c r="F55">
        <v>1</v>
      </c>
      <c r="G55">
        <v>29</v>
      </c>
      <c r="H55">
        <v>29</v>
      </c>
      <c r="I55" t="s">
        <v>339</v>
      </c>
      <c r="J55">
        <v>-55.042830033333303</v>
      </c>
      <c r="K55">
        <v>-64.570682500000004</v>
      </c>
      <c r="L55" t="s">
        <v>337</v>
      </c>
      <c r="M55" t="s">
        <v>138</v>
      </c>
      <c r="N55" t="s">
        <v>138</v>
      </c>
      <c r="O55" t="s">
        <v>138</v>
      </c>
      <c r="P55" t="s">
        <v>138</v>
      </c>
      <c r="Q55">
        <v>8.4099999999999994E-2</v>
      </c>
      <c r="R55">
        <v>0</v>
      </c>
      <c r="S55">
        <v>3.9100000000000003E-2</v>
      </c>
      <c r="T55">
        <v>6.7999999999999996E-3</v>
      </c>
      <c r="U55">
        <v>4.5900000000000003E-2</v>
      </c>
      <c r="V55">
        <v>6.4999999999999997E-3</v>
      </c>
      <c r="W55">
        <v>0</v>
      </c>
      <c r="X55" t="s">
        <v>138</v>
      </c>
      <c r="Y55" t="s">
        <v>138</v>
      </c>
      <c r="Z55">
        <v>0.32490000000000002</v>
      </c>
      <c r="AA55">
        <v>0.20472299999999999</v>
      </c>
      <c r="AB55">
        <v>0.57922656467519529</v>
      </c>
      <c r="AC55">
        <v>0.38870571455088099</v>
      </c>
      <c r="AD55">
        <v>3.2067720773923787E-2</v>
      </c>
      <c r="AE55">
        <v>0.18819071086297101</v>
      </c>
      <c r="AF55">
        <v>0.12629048665758119</v>
      </c>
      <c r="AG55">
        <v>1.041880247944784E-2</v>
      </c>
      <c r="AH55">
        <v>0.38164500000000001</v>
      </c>
      <c r="AI55">
        <v>8.0048212343932171E-3</v>
      </c>
      <c r="AJ55">
        <v>0.70332114923554601</v>
      </c>
      <c r="AK55">
        <v>0.28867402953006061</v>
      </c>
      <c r="AL55">
        <v>2.6007664190543559E-3</v>
      </c>
      <c r="AM55">
        <v>0.22850904138662889</v>
      </c>
      <c r="AN55">
        <v>9.3790192194316696E-2</v>
      </c>
      <c r="AO55">
        <v>0.290912</v>
      </c>
      <c r="AP55">
        <v>1.1201730852592349E-3</v>
      </c>
      <c r="AQ55">
        <v>3.9771477285227147E-2</v>
      </c>
      <c r="AR55">
        <v>0.46391039616224522</v>
      </c>
      <c r="AS55">
        <v>0.49631812655252772</v>
      </c>
      <c r="AT55">
        <v>1.29217529699703E-2</v>
      </c>
      <c r="AU55">
        <v>0.1507244877131135</v>
      </c>
      <c r="AV55">
        <v>0.16125375931691621</v>
      </c>
      <c r="AW55">
        <v>0.23674300000000001</v>
      </c>
      <c r="AX55">
        <v>7.5174046330237871E-3</v>
      </c>
      <c r="AY55">
        <v>3.5967272527593207E-2</v>
      </c>
      <c r="AZ55">
        <v>0.54350340252058527</v>
      </c>
      <c r="BA55">
        <v>0.42052932495182138</v>
      </c>
      <c r="BB55">
        <v>1.168576684421504E-2</v>
      </c>
      <c r="BC55">
        <v>0.17658425547893819</v>
      </c>
      <c r="BD55">
        <v>0.13662997767684679</v>
      </c>
    </row>
    <row r="56" spans="1:56" x14ac:dyDescent="0.25">
      <c r="A56" t="s">
        <v>340</v>
      </c>
      <c r="B56" t="s">
        <v>53</v>
      </c>
      <c r="C56" t="s">
        <v>111</v>
      </c>
      <c r="D56">
        <v>7</v>
      </c>
      <c r="E56">
        <v>2024</v>
      </c>
      <c r="F56">
        <v>1</v>
      </c>
      <c r="G56">
        <v>30</v>
      </c>
      <c r="H56">
        <v>30</v>
      </c>
      <c r="I56" t="s">
        <v>341</v>
      </c>
      <c r="J56">
        <v>-57.912532083333303</v>
      </c>
      <c r="K56">
        <v>-64.933562050000006</v>
      </c>
      <c r="L56" t="s">
        <v>138</v>
      </c>
      <c r="M56" t="s">
        <v>138</v>
      </c>
      <c r="N56" t="s">
        <v>138</v>
      </c>
      <c r="O56" t="s">
        <v>138</v>
      </c>
      <c r="P56" t="s">
        <v>138</v>
      </c>
      <c r="Q56">
        <v>6.3700000000000007E-2</v>
      </c>
      <c r="R56">
        <v>0</v>
      </c>
      <c r="S56">
        <v>4.0599999999999997E-2</v>
      </c>
      <c r="T56">
        <v>9.5999999999999992E-3</v>
      </c>
      <c r="U56">
        <v>0.04</v>
      </c>
      <c r="V56">
        <v>0</v>
      </c>
      <c r="W56">
        <v>0</v>
      </c>
      <c r="X56" t="s">
        <v>138</v>
      </c>
      <c r="Y56" t="s">
        <v>138</v>
      </c>
      <c r="Z56">
        <v>0.21160000000000001</v>
      </c>
      <c r="AA56">
        <v>0.168739</v>
      </c>
      <c r="AB56">
        <v>0.53228358589300639</v>
      </c>
      <c r="AC56">
        <v>0.46771641410699361</v>
      </c>
      <c r="AD56">
        <v>0</v>
      </c>
      <c r="AE56">
        <v>0.1126312067749602</v>
      </c>
      <c r="AF56">
        <v>9.8968793225039847E-2</v>
      </c>
      <c r="AG56">
        <v>0</v>
      </c>
      <c r="AH56">
        <v>0.30781599999999998</v>
      </c>
      <c r="AI56">
        <v>0</v>
      </c>
      <c r="AJ56">
        <v>0.72890622969566243</v>
      </c>
      <c r="AK56">
        <v>0.27109377030433762</v>
      </c>
      <c r="AL56">
        <v>0</v>
      </c>
      <c r="AM56">
        <v>0.15423655820360219</v>
      </c>
      <c r="AN56">
        <v>5.7363441796397838E-2</v>
      </c>
      <c r="AO56">
        <v>0.23686199999999999</v>
      </c>
      <c r="AP56">
        <v>1.6907433998041481E-3</v>
      </c>
      <c r="AQ56">
        <v>0</v>
      </c>
      <c r="AR56">
        <v>0.54447692544882331</v>
      </c>
      <c r="AS56">
        <v>0.45552307455117652</v>
      </c>
      <c r="AT56">
        <v>0</v>
      </c>
      <c r="AU56">
        <v>0.115211317424971</v>
      </c>
      <c r="AV56">
        <v>9.6388682575028958E-2</v>
      </c>
      <c r="AW56">
        <v>0.19609399999999999</v>
      </c>
      <c r="AX56">
        <v>1.015396716760127E-2</v>
      </c>
      <c r="AY56">
        <v>0</v>
      </c>
      <c r="AZ56">
        <v>0.64501798789295772</v>
      </c>
      <c r="BA56">
        <v>0.35498201210704228</v>
      </c>
      <c r="BB56">
        <v>0</v>
      </c>
      <c r="BC56">
        <v>0.13648580623814979</v>
      </c>
      <c r="BD56">
        <v>7.5114193761850162E-2</v>
      </c>
    </row>
    <row r="57" spans="1:56" x14ac:dyDescent="0.25">
      <c r="A57" t="s">
        <v>342</v>
      </c>
      <c r="B57" t="s">
        <v>237</v>
      </c>
      <c r="C57" t="s">
        <v>111</v>
      </c>
      <c r="D57">
        <v>7</v>
      </c>
      <c r="E57">
        <v>2024</v>
      </c>
      <c r="F57">
        <v>1</v>
      </c>
      <c r="G57">
        <v>31</v>
      </c>
      <c r="H57">
        <v>31</v>
      </c>
      <c r="I57" t="s">
        <v>343</v>
      </c>
      <c r="J57">
        <v>-59.914935666666601</v>
      </c>
      <c r="K57">
        <v>-66.133684983333296</v>
      </c>
      <c r="L57" t="s">
        <v>138</v>
      </c>
      <c r="M57" t="s">
        <v>138</v>
      </c>
      <c r="N57" t="s">
        <v>138</v>
      </c>
      <c r="O57" t="s">
        <v>138</v>
      </c>
      <c r="P57" t="s">
        <v>138</v>
      </c>
      <c r="Q57">
        <v>0.34110000000000001</v>
      </c>
      <c r="R57">
        <v>0</v>
      </c>
      <c r="S57">
        <v>1.0367</v>
      </c>
      <c r="T57">
        <v>7.6E-3</v>
      </c>
      <c r="U57">
        <v>0</v>
      </c>
      <c r="V57">
        <v>0</v>
      </c>
      <c r="W57">
        <v>0</v>
      </c>
      <c r="X57" t="s">
        <v>138</v>
      </c>
      <c r="Y57" t="s">
        <v>138</v>
      </c>
      <c r="Z57">
        <v>1.466</v>
      </c>
      <c r="AA57">
        <v>1.8002199999999999</v>
      </c>
      <c r="AB57">
        <v>0.26716234682427697</v>
      </c>
      <c r="AC57">
        <v>0.73283765317572303</v>
      </c>
      <c r="AD57">
        <v>0</v>
      </c>
      <c r="AE57">
        <v>0.39166000044439009</v>
      </c>
      <c r="AF57">
        <v>1.07433999955561</v>
      </c>
      <c r="AG57">
        <v>0</v>
      </c>
      <c r="AH57">
        <v>1.7956110000000001</v>
      </c>
      <c r="AI57">
        <v>0</v>
      </c>
      <c r="AJ57">
        <v>0.75114821640099105</v>
      </c>
      <c r="AK57">
        <v>0.24885178359900889</v>
      </c>
      <c r="AL57">
        <v>0</v>
      </c>
      <c r="AM57">
        <v>1.101183285243853</v>
      </c>
      <c r="AN57">
        <v>0.36481671475614708</v>
      </c>
      <c r="AO57">
        <v>1.883202</v>
      </c>
      <c r="AP57">
        <v>3.520434169245456E-3</v>
      </c>
      <c r="AQ57">
        <v>0</v>
      </c>
      <c r="AR57">
        <v>0.6880905794781903</v>
      </c>
      <c r="AS57">
        <v>0.31190942052180959</v>
      </c>
      <c r="AT57">
        <v>0</v>
      </c>
      <c r="AU57">
        <v>1.0087407895150271</v>
      </c>
      <c r="AV57">
        <v>0.45725921048497292</v>
      </c>
      <c r="AW57">
        <v>1.507096</v>
      </c>
      <c r="AX57">
        <v>1.5915569123908849E-2</v>
      </c>
      <c r="AY57">
        <v>0</v>
      </c>
      <c r="AZ57">
        <v>0.7195004431443528</v>
      </c>
      <c r="BA57">
        <v>0.28049955685564731</v>
      </c>
      <c r="BB57">
        <v>0</v>
      </c>
      <c r="BC57">
        <v>1.0547876496496209</v>
      </c>
      <c r="BD57">
        <v>0.4112123503503789</v>
      </c>
    </row>
    <row r="58" spans="1:56" x14ac:dyDescent="0.25">
      <c r="A58" t="s">
        <v>344</v>
      </c>
      <c r="B58" t="s">
        <v>237</v>
      </c>
      <c r="C58" t="s">
        <v>111</v>
      </c>
      <c r="D58">
        <v>7</v>
      </c>
      <c r="E58">
        <v>2024</v>
      </c>
      <c r="F58">
        <v>1</v>
      </c>
      <c r="G58">
        <v>31</v>
      </c>
      <c r="H58">
        <v>31</v>
      </c>
      <c r="I58" t="s">
        <v>345</v>
      </c>
      <c r="J58">
        <v>-60.017870916666602</v>
      </c>
      <c r="K58">
        <v>-66.126217033333305</v>
      </c>
      <c r="L58" t="s">
        <v>138</v>
      </c>
      <c r="M58" t="s">
        <v>138</v>
      </c>
      <c r="N58" t="s">
        <v>138</v>
      </c>
      <c r="O58" t="s">
        <v>138</v>
      </c>
      <c r="P58" t="s">
        <v>138</v>
      </c>
      <c r="Q58">
        <v>0.31619999999999998</v>
      </c>
      <c r="R58">
        <v>0</v>
      </c>
      <c r="S58">
        <v>0.78159999999999996</v>
      </c>
      <c r="T58">
        <v>0</v>
      </c>
      <c r="U58">
        <v>2.2800000000000001E-2</v>
      </c>
      <c r="V58">
        <v>0</v>
      </c>
      <c r="W58">
        <v>0</v>
      </c>
      <c r="X58" t="s">
        <v>138</v>
      </c>
      <c r="Y58" t="s">
        <v>138</v>
      </c>
      <c r="Z58">
        <v>1.2228000000000001</v>
      </c>
      <c r="AA58">
        <v>1.4521539999999999</v>
      </c>
      <c r="AB58">
        <v>0.30702115615836889</v>
      </c>
      <c r="AC58">
        <v>0.69297884384163122</v>
      </c>
      <c r="AD58">
        <v>0</v>
      </c>
      <c r="AE58">
        <v>0.37542546975045349</v>
      </c>
      <c r="AF58">
        <v>0.84737453024954679</v>
      </c>
      <c r="AG58">
        <v>0</v>
      </c>
      <c r="AH58">
        <v>1.5686279999999999</v>
      </c>
      <c r="AI58">
        <v>0</v>
      </c>
      <c r="AJ58">
        <v>0.73593356742325144</v>
      </c>
      <c r="AK58">
        <v>0.26406643257674861</v>
      </c>
      <c r="AL58">
        <v>0</v>
      </c>
      <c r="AM58">
        <v>0.89989956624515199</v>
      </c>
      <c r="AN58">
        <v>0.32290043375484823</v>
      </c>
      <c r="AO58">
        <v>1.5595000000000001</v>
      </c>
      <c r="AP58">
        <v>0.31619999999999998</v>
      </c>
      <c r="AQ58">
        <v>0</v>
      </c>
      <c r="AR58">
        <v>1.6808893689768269</v>
      </c>
      <c r="AS58">
        <v>-0.68088936897682661</v>
      </c>
      <c r="AT58">
        <v>0</v>
      </c>
      <c r="AU58">
        <v>2.0553915203848638</v>
      </c>
      <c r="AV58">
        <v>-0.83259152038486361</v>
      </c>
      <c r="AW58">
        <v>1.244772</v>
      </c>
      <c r="AX58">
        <v>0.31619999999999998</v>
      </c>
      <c r="AY58">
        <v>0</v>
      </c>
      <c r="AZ58">
        <v>0.99999999999999978</v>
      </c>
      <c r="BA58">
        <v>0</v>
      </c>
      <c r="BB58">
        <v>0</v>
      </c>
      <c r="BC58">
        <v>1.2228000000000001</v>
      </c>
      <c r="BD58">
        <v>0</v>
      </c>
    </row>
    <row r="59" spans="1:56" x14ac:dyDescent="0.25">
      <c r="A59" t="s">
        <v>346</v>
      </c>
      <c r="B59" t="s">
        <v>347</v>
      </c>
      <c r="C59" t="s">
        <v>111</v>
      </c>
      <c r="D59">
        <v>7</v>
      </c>
      <c r="E59">
        <v>2024</v>
      </c>
      <c r="F59">
        <v>2</v>
      </c>
      <c r="G59">
        <v>2</v>
      </c>
      <c r="H59">
        <v>33</v>
      </c>
      <c r="I59" t="s">
        <v>348</v>
      </c>
      <c r="J59">
        <v>-60.404807349999899</v>
      </c>
      <c r="K59">
        <v>-66.125010066666604</v>
      </c>
      <c r="L59" t="s">
        <v>219</v>
      </c>
      <c r="M59">
        <v>1.130246333346961</v>
      </c>
      <c r="N59">
        <v>1.467303516219054</v>
      </c>
      <c r="O59">
        <v>3.6486506772792788</v>
      </c>
      <c r="P59">
        <v>2.877097133556084</v>
      </c>
      <c r="Q59">
        <v>0.45340000000000003</v>
      </c>
      <c r="R59">
        <v>0</v>
      </c>
      <c r="S59">
        <v>0.84</v>
      </c>
      <c r="T59">
        <v>7.7000000000000002E-3</v>
      </c>
      <c r="U59">
        <v>2.6599999999999999E-2</v>
      </c>
      <c r="V59">
        <v>0</v>
      </c>
      <c r="W59">
        <v>0</v>
      </c>
      <c r="X59" t="s">
        <v>138</v>
      </c>
      <c r="Y59" t="s">
        <v>138</v>
      </c>
      <c r="Z59">
        <v>1.4585999999999999</v>
      </c>
      <c r="AA59">
        <v>1.7247490000000001</v>
      </c>
      <c r="AB59">
        <v>0.37065915098370839</v>
      </c>
      <c r="AC59">
        <v>0.62934084901629161</v>
      </c>
      <c r="AD59">
        <v>0</v>
      </c>
      <c r="AE59">
        <v>0.54064343762483702</v>
      </c>
      <c r="AF59">
        <v>0.91795656237516288</v>
      </c>
      <c r="AG59">
        <v>0</v>
      </c>
      <c r="AH59">
        <v>1.9889319999999999</v>
      </c>
      <c r="AI59">
        <v>0</v>
      </c>
      <c r="AJ59">
        <v>0.70137038370341465</v>
      </c>
      <c r="AK59">
        <v>0.29862961629658541</v>
      </c>
      <c r="AL59">
        <v>0</v>
      </c>
      <c r="AM59">
        <v>1.0230188416698009</v>
      </c>
      <c r="AN59">
        <v>0.43558115833019939</v>
      </c>
      <c r="AO59">
        <v>1.881567</v>
      </c>
      <c r="AP59">
        <v>3.3485425344480478E-3</v>
      </c>
      <c r="AQ59">
        <v>0</v>
      </c>
      <c r="AR59">
        <v>0.58380991163744878</v>
      </c>
      <c r="AS59">
        <v>0.41619008836255128</v>
      </c>
      <c r="AT59">
        <v>0</v>
      </c>
      <c r="AU59">
        <v>0.85154513711438273</v>
      </c>
      <c r="AV59">
        <v>0.60705486288561739</v>
      </c>
      <c r="AW59">
        <v>1.4950939999999999</v>
      </c>
      <c r="AX59">
        <v>1.543025039349827E-2</v>
      </c>
      <c r="AY59">
        <v>0</v>
      </c>
      <c r="AZ59">
        <v>0.61918068396471926</v>
      </c>
      <c r="BA59">
        <v>0.38081931603528102</v>
      </c>
      <c r="BB59">
        <v>0</v>
      </c>
      <c r="BC59">
        <v>0.90313694563093949</v>
      </c>
      <c r="BD59">
        <v>0.55546305436906074</v>
      </c>
    </row>
    <row r="60" spans="1:56" x14ac:dyDescent="0.25">
      <c r="A60" t="s">
        <v>349</v>
      </c>
      <c r="B60" t="s">
        <v>347</v>
      </c>
      <c r="C60" t="s">
        <v>161</v>
      </c>
      <c r="D60">
        <v>7</v>
      </c>
      <c r="E60">
        <v>2024</v>
      </c>
      <c r="F60">
        <v>2</v>
      </c>
      <c r="G60">
        <v>2</v>
      </c>
      <c r="H60">
        <v>33</v>
      </c>
      <c r="I60" t="s">
        <v>350</v>
      </c>
      <c r="J60">
        <v>-60.422119649999999</v>
      </c>
      <c r="K60">
        <v>-66.120739166666596</v>
      </c>
      <c r="L60" t="s">
        <v>219</v>
      </c>
      <c r="M60" t="s">
        <v>138</v>
      </c>
      <c r="N60" t="s">
        <v>138</v>
      </c>
      <c r="O60" t="s">
        <v>138</v>
      </c>
      <c r="P60" t="s">
        <v>138</v>
      </c>
      <c r="Q60">
        <v>2.7900000000000001E-2</v>
      </c>
      <c r="R60">
        <v>0</v>
      </c>
      <c r="S60">
        <v>0.24429999999999999</v>
      </c>
      <c r="T60">
        <v>5.3E-3</v>
      </c>
      <c r="U60">
        <v>7.7000000000000002E-3</v>
      </c>
      <c r="V60">
        <v>0</v>
      </c>
      <c r="W60">
        <v>0</v>
      </c>
      <c r="X60" t="s">
        <v>138</v>
      </c>
      <c r="Y60" t="s">
        <v>138</v>
      </c>
      <c r="Z60">
        <v>0.249</v>
      </c>
      <c r="AA60">
        <v>0.35607499999999997</v>
      </c>
      <c r="AB60">
        <v>0.11047953380608019</v>
      </c>
      <c r="AC60">
        <v>0.88952046619391978</v>
      </c>
      <c r="AD60">
        <v>0</v>
      </c>
      <c r="AE60">
        <v>2.7509403917713959E-2</v>
      </c>
      <c r="AF60">
        <v>0.221490596082286</v>
      </c>
      <c r="AG60">
        <v>0</v>
      </c>
      <c r="AH60">
        <v>0.30596699999999999</v>
      </c>
      <c r="AI60">
        <v>0</v>
      </c>
      <c r="AJ60">
        <v>0.88054594122895602</v>
      </c>
      <c r="AK60">
        <v>0.11945405877104399</v>
      </c>
      <c r="AL60">
        <v>0</v>
      </c>
      <c r="AM60">
        <v>0.21925593936601001</v>
      </c>
      <c r="AN60">
        <v>2.974406063398994E-2</v>
      </c>
      <c r="AO60">
        <v>0.36794500000000002</v>
      </c>
      <c r="AP60">
        <v>1.4805268349393521E-3</v>
      </c>
      <c r="AQ60">
        <v>0</v>
      </c>
      <c r="AR60">
        <v>0.87506316621450075</v>
      </c>
      <c r="AS60">
        <v>0.1249368337854993</v>
      </c>
      <c r="AT60">
        <v>0</v>
      </c>
      <c r="AU60">
        <v>0.21789072838741069</v>
      </c>
      <c r="AV60">
        <v>3.110927161258932E-2</v>
      </c>
      <c r="AW60">
        <v>0.302122</v>
      </c>
      <c r="AX60">
        <v>8.7744354331360987E-3</v>
      </c>
      <c r="AY60">
        <v>0</v>
      </c>
      <c r="AZ60">
        <v>0.91770465594388007</v>
      </c>
      <c r="BA60">
        <v>8.2295344056119948E-2</v>
      </c>
      <c r="BB60">
        <v>0</v>
      </c>
      <c r="BC60">
        <v>0.22850845933002609</v>
      </c>
      <c r="BD60">
        <v>2.0491540669973871E-2</v>
      </c>
    </row>
    <row r="61" spans="1:56" x14ac:dyDescent="0.25">
      <c r="A61" t="s">
        <v>351</v>
      </c>
      <c r="B61" t="s">
        <v>347</v>
      </c>
      <c r="C61" t="s">
        <v>164</v>
      </c>
      <c r="D61">
        <v>7</v>
      </c>
      <c r="E61">
        <v>2024</v>
      </c>
      <c r="F61">
        <v>2</v>
      </c>
      <c r="G61">
        <v>2</v>
      </c>
      <c r="H61">
        <v>33</v>
      </c>
      <c r="I61" t="s">
        <v>352</v>
      </c>
      <c r="J61">
        <v>-60.424516783333303</v>
      </c>
      <c r="K61">
        <v>-66.119559533333302</v>
      </c>
      <c r="L61" t="s">
        <v>219</v>
      </c>
      <c r="M61" t="s">
        <v>138</v>
      </c>
      <c r="N61" t="s">
        <v>138</v>
      </c>
      <c r="O61" t="s">
        <v>138</v>
      </c>
      <c r="P61" t="s">
        <v>138</v>
      </c>
      <c r="Q61">
        <v>1.3899999999999999E-2</v>
      </c>
      <c r="R61">
        <v>0</v>
      </c>
      <c r="S61">
        <v>0.20699999999999999</v>
      </c>
      <c r="T61">
        <v>0</v>
      </c>
      <c r="U61">
        <v>0</v>
      </c>
      <c r="V61">
        <v>0</v>
      </c>
      <c r="W61">
        <v>0</v>
      </c>
      <c r="X61" t="s">
        <v>138</v>
      </c>
      <c r="Y61" t="s">
        <v>138</v>
      </c>
      <c r="Z61">
        <v>0.22189999999999999</v>
      </c>
      <c r="AA61">
        <v>0.28248899999999999</v>
      </c>
      <c r="AB61">
        <v>6.9379692660599165E-2</v>
      </c>
      <c r="AC61">
        <v>0.93062030733940093</v>
      </c>
      <c r="AD61">
        <v>0</v>
      </c>
      <c r="AE61">
        <v>1.539535380138695E-2</v>
      </c>
      <c r="AF61">
        <v>0.20650464619861311</v>
      </c>
      <c r="AG61">
        <v>0</v>
      </c>
      <c r="AH61">
        <v>0.21650800000000001</v>
      </c>
      <c r="AI61">
        <v>0</v>
      </c>
      <c r="AJ61">
        <v>0.91589687217100524</v>
      </c>
      <c r="AK61">
        <v>8.4103127828994761E-2</v>
      </c>
      <c r="AL61">
        <v>0</v>
      </c>
      <c r="AM61">
        <v>0.20323751593474601</v>
      </c>
      <c r="AN61">
        <v>1.8662484065253941E-2</v>
      </c>
      <c r="AO61">
        <v>0.28086599999999989</v>
      </c>
      <c r="AP61">
        <v>1.3899999999999999E-2</v>
      </c>
      <c r="AQ61">
        <v>0</v>
      </c>
      <c r="AR61">
        <v>4.7157894821407469</v>
      </c>
      <c r="AS61">
        <v>-3.715789482140746</v>
      </c>
      <c r="AT61">
        <v>0</v>
      </c>
      <c r="AU61">
        <v>1.046433686087032</v>
      </c>
      <c r="AV61">
        <v>-0.82453368608703159</v>
      </c>
      <c r="AW61">
        <v>0.22921</v>
      </c>
      <c r="AX61">
        <v>1.3899999999999999E-2</v>
      </c>
      <c r="AY61">
        <v>0</v>
      </c>
      <c r="AZ61">
        <v>1</v>
      </c>
      <c r="BA61">
        <v>0</v>
      </c>
      <c r="BB61">
        <v>0</v>
      </c>
      <c r="BC61">
        <v>0.22189999999999999</v>
      </c>
      <c r="BD61">
        <v>0</v>
      </c>
    </row>
    <row r="62" spans="1:56" x14ac:dyDescent="0.25">
      <c r="A62" t="s">
        <v>353</v>
      </c>
      <c r="B62" t="s">
        <v>354</v>
      </c>
      <c r="C62" t="s">
        <v>111</v>
      </c>
      <c r="D62">
        <v>7</v>
      </c>
      <c r="E62">
        <v>2024</v>
      </c>
      <c r="F62">
        <v>2</v>
      </c>
      <c r="G62">
        <v>3</v>
      </c>
      <c r="H62">
        <v>34</v>
      </c>
      <c r="I62" t="s">
        <v>355</v>
      </c>
      <c r="J62">
        <v>-59.304932566666601</v>
      </c>
      <c r="K62">
        <v>-65.6230701333333</v>
      </c>
      <c r="L62" t="s">
        <v>20</v>
      </c>
      <c r="M62">
        <v>2.500490946319216</v>
      </c>
      <c r="N62">
        <v>0.28607310870279351</v>
      </c>
      <c r="O62">
        <v>0.63222921870360149</v>
      </c>
      <c r="P62">
        <v>0.75010380425240719</v>
      </c>
      <c r="Q62">
        <v>0.1007</v>
      </c>
      <c r="R62">
        <v>0</v>
      </c>
      <c r="S62">
        <v>9.0499999999999997E-2</v>
      </c>
      <c r="T62">
        <v>1.2E-2</v>
      </c>
      <c r="U62">
        <v>6.3E-2</v>
      </c>
      <c r="V62">
        <v>0</v>
      </c>
      <c r="W62">
        <v>0</v>
      </c>
      <c r="X62" t="s">
        <v>138</v>
      </c>
      <c r="Y62" t="s">
        <v>138</v>
      </c>
      <c r="Z62">
        <v>0.39450000000000002</v>
      </c>
      <c r="AA62">
        <v>0.29892200000000002</v>
      </c>
      <c r="AB62">
        <v>0.47499682191340892</v>
      </c>
      <c r="AC62">
        <v>0.52500317808659114</v>
      </c>
      <c r="AD62">
        <v>0</v>
      </c>
      <c r="AE62">
        <v>0.18738624624483979</v>
      </c>
      <c r="AF62">
        <v>0.2071137537551602</v>
      </c>
      <c r="AG62">
        <v>0</v>
      </c>
      <c r="AH62">
        <v>0.50888900000000004</v>
      </c>
      <c r="AI62">
        <v>0</v>
      </c>
      <c r="AJ62">
        <v>0.74077451074792333</v>
      </c>
      <c r="AK62">
        <v>0.25922548925207661</v>
      </c>
      <c r="AL62">
        <v>0</v>
      </c>
      <c r="AM62">
        <v>0.29223554449005579</v>
      </c>
      <c r="AN62">
        <v>0.1022644555099442</v>
      </c>
      <c r="AO62">
        <v>0.404918</v>
      </c>
      <c r="AP62">
        <v>2.808091823628477E-3</v>
      </c>
      <c r="AQ62">
        <v>0</v>
      </c>
      <c r="AR62">
        <v>0.57934218724066</v>
      </c>
      <c r="AS62">
        <v>0.42065781275934</v>
      </c>
      <c r="AT62">
        <v>0</v>
      </c>
      <c r="AU62">
        <v>0.22855049286644041</v>
      </c>
      <c r="AV62">
        <v>0.1659495071335596</v>
      </c>
      <c r="AW62">
        <v>0.33385999999999999</v>
      </c>
      <c r="AX62">
        <v>1.440899779774407E-2</v>
      </c>
      <c r="AY62">
        <v>0</v>
      </c>
      <c r="AZ62">
        <v>0.66399597776633112</v>
      </c>
      <c r="BA62">
        <v>0.33600402223366888</v>
      </c>
      <c r="BB62">
        <v>0</v>
      </c>
      <c r="BC62">
        <v>0.26194641322881762</v>
      </c>
      <c r="BD62">
        <v>0.1325535867711824</v>
      </c>
    </row>
    <row r="63" spans="1:56" x14ac:dyDescent="0.25">
      <c r="A63" t="s">
        <v>356</v>
      </c>
      <c r="B63" t="s">
        <v>354</v>
      </c>
      <c r="C63" t="s">
        <v>161</v>
      </c>
      <c r="D63">
        <v>7</v>
      </c>
      <c r="E63">
        <v>2024</v>
      </c>
      <c r="F63">
        <v>2</v>
      </c>
      <c r="G63">
        <v>3</v>
      </c>
      <c r="H63">
        <v>34</v>
      </c>
      <c r="I63" t="s">
        <v>357</v>
      </c>
      <c r="J63">
        <v>-59.303249899999997</v>
      </c>
      <c r="K63">
        <v>-65.623316700000004</v>
      </c>
      <c r="L63" t="s">
        <v>20</v>
      </c>
      <c r="M63" t="s">
        <v>138</v>
      </c>
      <c r="N63" t="s">
        <v>138</v>
      </c>
      <c r="O63" t="s">
        <v>138</v>
      </c>
      <c r="P63" t="s">
        <v>138</v>
      </c>
      <c r="Q63">
        <v>0.12039999999999999</v>
      </c>
      <c r="R63">
        <v>0</v>
      </c>
      <c r="S63">
        <v>8.2299999999999998E-2</v>
      </c>
      <c r="T63">
        <v>1.0699999999999999E-2</v>
      </c>
      <c r="U63">
        <v>4.9500000000000002E-2</v>
      </c>
      <c r="V63">
        <v>0</v>
      </c>
      <c r="W63">
        <v>0</v>
      </c>
      <c r="X63" t="s">
        <v>138</v>
      </c>
      <c r="Y63" t="s">
        <v>138</v>
      </c>
      <c r="Z63">
        <v>0.37680000000000002</v>
      </c>
      <c r="AA63">
        <v>0.30773</v>
      </c>
      <c r="AB63">
        <v>0.55166542098592908</v>
      </c>
      <c r="AC63">
        <v>0.44833457901407081</v>
      </c>
      <c r="AD63">
        <v>0</v>
      </c>
      <c r="AE63">
        <v>0.2078675306274981</v>
      </c>
      <c r="AF63">
        <v>0.16893246937250189</v>
      </c>
      <c r="AG63">
        <v>0</v>
      </c>
      <c r="AH63">
        <v>0.51772899999999999</v>
      </c>
      <c r="AI63">
        <v>0</v>
      </c>
      <c r="AJ63">
        <v>0.695354133146878</v>
      </c>
      <c r="AK63">
        <v>0.304645866853122</v>
      </c>
      <c r="AL63">
        <v>0</v>
      </c>
      <c r="AM63">
        <v>0.26200943736974358</v>
      </c>
      <c r="AN63">
        <v>0.1147905626302564</v>
      </c>
      <c r="AO63">
        <v>0.40455299999999988</v>
      </c>
      <c r="AP63">
        <v>2.3870368913847789E-3</v>
      </c>
      <c r="AQ63">
        <v>0</v>
      </c>
      <c r="AR63">
        <v>0.49242112699945262</v>
      </c>
      <c r="AS63">
        <v>0.50757887300054749</v>
      </c>
      <c r="AT63">
        <v>0</v>
      </c>
      <c r="AU63">
        <v>0.18554428065339379</v>
      </c>
      <c r="AV63">
        <v>0.19125571934660629</v>
      </c>
      <c r="AW63">
        <v>0.32844000000000001</v>
      </c>
      <c r="AX63">
        <v>1.28249646899809E-2</v>
      </c>
      <c r="AY63">
        <v>0</v>
      </c>
      <c r="AZ63">
        <v>0.57420671689494329</v>
      </c>
      <c r="BA63">
        <v>0.42579328310505671</v>
      </c>
      <c r="BB63">
        <v>0</v>
      </c>
      <c r="BC63">
        <v>0.21636109092601469</v>
      </c>
      <c r="BD63">
        <v>0.16043890907398539</v>
      </c>
    </row>
    <row r="64" spans="1:56" x14ac:dyDescent="0.25">
      <c r="A64" t="s">
        <v>358</v>
      </c>
      <c r="B64" t="s">
        <v>354</v>
      </c>
      <c r="C64" t="s">
        <v>164</v>
      </c>
      <c r="D64">
        <v>7</v>
      </c>
      <c r="E64">
        <v>2024</v>
      </c>
      <c r="F64">
        <v>2</v>
      </c>
      <c r="G64">
        <v>3</v>
      </c>
      <c r="H64">
        <v>34</v>
      </c>
      <c r="I64" t="s">
        <v>359</v>
      </c>
      <c r="J64">
        <v>-59.304229866666603</v>
      </c>
      <c r="K64">
        <v>-65.623172333333301</v>
      </c>
      <c r="L64" t="s">
        <v>20</v>
      </c>
      <c r="M64" t="s">
        <v>138</v>
      </c>
      <c r="N64" t="s">
        <v>138</v>
      </c>
      <c r="O64" t="s">
        <v>138</v>
      </c>
      <c r="P64" t="s">
        <v>138</v>
      </c>
      <c r="Q64">
        <v>1.01E-2</v>
      </c>
      <c r="R64">
        <v>0</v>
      </c>
      <c r="S64">
        <v>1.38E-2</v>
      </c>
      <c r="T64">
        <v>0</v>
      </c>
      <c r="U64">
        <v>6.7000000000000002E-3</v>
      </c>
      <c r="V64">
        <v>0</v>
      </c>
      <c r="W64">
        <v>0</v>
      </c>
      <c r="X64" t="s">
        <v>138</v>
      </c>
      <c r="Y64" t="s">
        <v>138</v>
      </c>
      <c r="Z64">
        <v>5.6800000000000003E-2</v>
      </c>
      <c r="AA64">
        <v>3.5786999999999999E-2</v>
      </c>
      <c r="AB64">
        <v>0.39793779864196488</v>
      </c>
      <c r="AC64">
        <v>0.60206220135803501</v>
      </c>
      <c r="AD64">
        <v>0</v>
      </c>
      <c r="AE64">
        <v>2.2602866962863611E-2</v>
      </c>
      <c r="AF64">
        <v>3.4197133037136389E-2</v>
      </c>
      <c r="AG64">
        <v>0</v>
      </c>
      <c r="AH64">
        <v>5.6155999999999998E-2</v>
      </c>
      <c r="AI64">
        <v>0</v>
      </c>
      <c r="AJ64">
        <v>0.76438848920863312</v>
      </c>
      <c r="AK64">
        <v>0.23561151079136691</v>
      </c>
      <c r="AL64">
        <v>0</v>
      </c>
      <c r="AM64">
        <v>4.3417266187050357E-2</v>
      </c>
      <c r="AN64">
        <v>1.3382733812949641E-2</v>
      </c>
      <c r="AO64">
        <v>4.6477999999999992E-2</v>
      </c>
      <c r="AP64">
        <v>1.01E-2</v>
      </c>
      <c r="AQ64">
        <v>0.10677051508240459</v>
      </c>
      <c r="AR64">
        <v>10.43860275631693</v>
      </c>
      <c r="AS64">
        <v>-9.5453732713993329</v>
      </c>
      <c r="AT64">
        <v>6.0645652566805796E-3</v>
      </c>
      <c r="AU64">
        <v>0.59291263655880155</v>
      </c>
      <c r="AV64">
        <v>-0.54217720181548212</v>
      </c>
      <c r="AW64">
        <v>3.7926000000000001E-2</v>
      </c>
      <c r="AX64">
        <v>1.01E-2</v>
      </c>
      <c r="AY64">
        <v>0.10763170384432839</v>
      </c>
      <c r="AZ64">
        <v>0.8923682961556717</v>
      </c>
      <c r="BA64">
        <v>0</v>
      </c>
      <c r="BB64">
        <v>6.113480778357854E-3</v>
      </c>
      <c r="BC64">
        <v>5.0686519221642162E-2</v>
      </c>
      <c r="BD64">
        <v>0</v>
      </c>
    </row>
    <row r="65" spans="1:56" x14ac:dyDescent="0.25">
      <c r="A65" t="s">
        <v>360</v>
      </c>
      <c r="B65" t="s">
        <v>237</v>
      </c>
      <c r="C65" t="s">
        <v>111</v>
      </c>
      <c r="D65">
        <v>7</v>
      </c>
      <c r="E65">
        <v>2024</v>
      </c>
      <c r="F65">
        <v>2</v>
      </c>
      <c r="G65">
        <v>3</v>
      </c>
      <c r="H65">
        <v>34</v>
      </c>
      <c r="I65" t="s">
        <v>361</v>
      </c>
      <c r="J65">
        <v>-58.630894683333302</v>
      </c>
      <c r="K65">
        <v>-64.908713216666598</v>
      </c>
      <c r="L65" t="s">
        <v>138</v>
      </c>
      <c r="M65" t="s">
        <v>138</v>
      </c>
      <c r="N65" t="s">
        <v>138</v>
      </c>
      <c r="O65" t="s">
        <v>138</v>
      </c>
      <c r="P65" t="s">
        <v>138</v>
      </c>
      <c r="Q65">
        <v>0.51480000000000004</v>
      </c>
      <c r="R65">
        <v>0</v>
      </c>
      <c r="S65">
        <v>0.10489999999999999</v>
      </c>
      <c r="T65">
        <v>2.7199999999999998E-2</v>
      </c>
      <c r="U65">
        <v>0.32240000000000002</v>
      </c>
      <c r="V65">
        <v>0.05</v>
      </c>
      <c r="W65">
        <v>0</v>
      </c>
      <c r="X65" t="s">
        <v>138</v>
      </c>
      <c r="Y65" t="s">
        <v>138</v>
      </c>
      <c r="Z65">
        <v>1.3182</v>
      </c>
      <c r="AA65">
        <v>1.1125510000000001</v>
      </c>
      <c r="AB65">
        <v>0.65243570856527033</v>
      </c>
      <c r="AC65">
        <v>0.30217311386174661</v>
      </c>
      <c r="AD65">
        <v>4.539117757298318E-2</v>
      </c>
      <c r="AE65">
        <v>0.8600407510307394</v>
      </c>
      <c r="AF65">
        <v>0.39832459869255438</v>
      </c>
      <c r="AG65">
        <v>5.9834650276706432E-2</v>
      </c>
      <c r="AH65">
        <v>2.338175000000001</v>
      </c>
      <c r="AI65">
        <v>1.0050573631143939E-2</v>
      </c>
      <c r="AJ65">
        <v>0.70152447956205155</v>
      </c>
      <c r="AK65">
        <v>0.28842494680680442</v>
      </c>
      <c r="AL65">
        <v>1.3248666160573949E-2</v>
      </c>
      <c r="AM65">
        <v>0.92474956895869642</v>
      </c>
      <c r="AN65">
        <v>0.3802017648807296</v>
      </c>
      <c r="AO65">
        <v>1.6972119999999999</v>
      </c>
      <c r="AP65">
        <v>7.59521951109464E-3</v>
      </c>
      <c r="AQ65">
        <v>5.2438941039775817E-2</v>
      </c>
      <c r="AR65">
        <v>0.4275692617948168</v>
      </c>
      <c r="AS65">
        <v>0.51999179716540733</v>
      </c>
      <c r="AT65">
        <v>6.9125012078632489E-2</v>
      </c>
      <c r="AU65">
        <v>0.56362180089792757</v>
      </c>
      <c r="AV65">
        <v>0.68545318702343994</v>
      </c>
      <c r="AW65">
        <v>1.3798820000000001</v>
      </c>
      <c r="AX65">
        <v>2.9753541485554522E-2</v>
      </c>
      <c r="AY65">
        <v>4.7467826959116777E-2</v>
      </c>
      <c r="AZ65">
        <v>0.49556527582157078</v>
      </c>
      <c r="BA65">
        <v>0.45696689721931227</v>
      </c>
      <c r="BB65">
        <v>6.2572089497507741E-2</v>
      </c>
      <c r="BC65">
        <v>0.65325414658799474</v>
      </c>
      <c r="BD65">
        <v>0.60237376391449748</v>
      </c>
    </row>
    <row r="66" spans="1:56" x14ac:dyDescent="0.25">
      <c r="A66" t="s">
        <v>362</v>
      </c>
      <c r="B66" t="s">
        <v>363</v>
      </c>
      <c r="C66" t="s">
        <v>161</v>
      </c>
      <c r="D66">
        <v>7</v>
      </c>
      <c r="E66">
        <v>2024</v>
      </c>
      <c r="F66">
        <v>2</v>
      </c>
      <c r="G66">
        <v>4</v>
      </c>
      <c r="H66">
        <v>35</v>
      </c>
      <c r="I66" t="s">
        <v>364</v>
      </c>
      <c r="J66">
        <v>-58.257127099999998</v>
      </c>
      <c r="K66">
        <v>-64.589059800000001</v>
      </c>
      <c r="L66" t="s">
        <v>21</v>
      </c>
      <c r="M66" t="s">
        <v>138</v>
      </c>
      <c r="N66" t="s">
        <v>138</v>
      </c>
      <c r="O66" t="s">
        <v>138</v>
      </c>
      <c r="P66" t="s">
        <v>138</v>
      </c>
      <c r="Q66">
        <v>0.35120000000000001</v>
      </c>
      <c r="R66">
        <v>0</v>
      </c>
      <c r="S66">
        <v>8.9899999999999994E-2</v>
      </c>
      <c r="T66">
        <v>4.8399999999999999E-2</v>
      </c>
      <c r="U66">
        <v>1.1494</v>
      </c>
      <c r="V66">
        <v>2.3900000000000001E-2</v>
      </c>
      <c r="W66">
        <v>0</v>
      </c>
      <c r="X66" t="s">
        <v>138</v>
      </c>
      <c r="Y66" t="s">
        <v>138</v>
      </c>
      <c r="Z66">
        <v>2.9533</v>
      </c>
      <c r="AA66">
        <v>1.3400840000000001</v>
      </c>
      <c r="AB66">
        <v>0.3695231045218062</v>
      </c>
      <c r="AC66">
        <v>0.61246384554998046</v>
      </c>
      <c r="AD66">
        <v>1.8013049928213461E-2</v>
      </c>
      <c r="AE66">
        <v>1.09131258458425</v>
      </c>
      <c r="AF66">
        <v>1.8087894750627569</v>
      </c>
      <c r="AG66">
        <v>5.3197940352992808E-2</v>
      </c>
      <c r="AH66">
        <v>4.0552390000000003</v>
      </c>
      <c r="AI66">
        <v>2.7699970334670778E-3</v>
      </c>
      <c r="AJ66">
        <v>0.88377873659234385</v>
      </c>
      <c r="AK66">
        <v>0.11345126637418899</v>
      </c>
      <c r="AL66">
        <v>8.1806322389383207E-3</v>
      </c>
      <c r="AM66">
        <v>2.610063742778169</v>
      </c>
      <c r="AN66">
        <v>0.33505562498289249</v>
      </c>
      <c r="AO66">
        <v>2.81467</v>
      </c>
      <c r="AP66">
        <v>1.4128176894871501E-2</v>
      </c>
      <c r="AQ66">
        <v>1.511438285838127E-2</v>
      </c>
      <c r="AR66">
        <v>0.77651128828497706</v>
      </c>
      <c r="AS66">
        <v>0.20837432885664159</v>
      </c>
      <c r="AT66">
        <v>4.4637306895657397E-2</v>
      </c>
      <c r="AU66">
        <v>2.2932707876920229</v>
      </c>
      <c r="AV66">
        <v>0.61539190541231981</v>
      </c>
      <c r="AW66">
        <v>2.4582950000000001</v>
      </c>
      <c r="AX66">
        <v>4.7083690445393761E-2</v>
      </c>
      <c r="AY66">
        <v>1.273606300301632E-2</v>
      </c>
      <c r="AZ66">
        <v>0.82644060113981943</v>
      </c>
      <c r="BA66">
        <v>0.16082333585716449</v>
      </c>
      <c r="BB66">
        <v>3.7613414866808102E-2</v>
      </c>
      <c r="BC66">
        <v>2.4407270273462291</v>
      </c>
      <c r="BD66">
        <v>0.47495955778696392</v>
      </c>
    </row>
    <row r="67" spans="1:56" x14ac:dyDescent="0.25">
      <c r="A67" t="s">
        <v>365</v>
      </c>
      <c r="B67" t="s">
        <v>363</v>
      </c>
      <c r="C67" t="s">
        <v>164</v>
      </c>
      <c r="D67">
        <v>7</v>
      </c>
      <c r="E67">
        <v>2024</v>
      </c>
      <c r="F67">
        <v>2</v>
      </c>
      <c r="G67">
        <v>4</v>
      </c>
      <c r="H67">
        <v>35</v>
      </c>
      <c r="I67" t="s">
        <v>366</v>
      </c>
      <c r="J67">
        <v>-58.257120700000002</v>
      </c>
      <c r="K67">
        <v>-64.589059183333305</v>
      </c>
      <c r="L67" t="s">
        <v>21</v>
      </c>
      <c r="M67" t="s">
        <v>138</v>
      </c>
      <c r="N67" t="s">
        <v>138</v>
      </c>
      <c r="O67" t="s">
        <v>138</v>
      </c>
      <c r="P67" t="s">
        <v>138</v>
      </c>
      <c r="Q67">
        <v>0.31859999999999999</v>
      </c>
      <c r="R67">
        <v>1.1299999999999999E-2</v>
      </c>
      <c r="S67">
        <v>0.10929999999999999</v>
      </c>
      <c r="T67">
        <v>4.8300000000000003E-2</v>
      </c>
      <c r="U67">
        <v>0.9647</v>
      </c>
      <c r="V67">
        <v>1.7500000000000002E-2</v>
      </c>
      <c r="W67">
        <v>0</v>
      </c>
      <c r="X67" t="s">
        <v>138</v>
      </c>
      <c r="Y67" t="s">
        <v>138</v>
      </c>
      <c r="Z67">
        <v>2.6055999999999999</v>
      </c>
      <c r="AA67">
        <v>1.2173700000000001</v>
      </c>
      <c r="AB67">
        <v>0.38210157963478653</v>
      </c>
      <c r="AC67">
        <v>0.60337941628264213</v>
      </c>
      <c r="AD67">
        <v>1.451900408257145E-2</v>
      </c>
      <c r="AE67">
        <v>0.99560387589639965</v>
      </c>
      <c r="AF67">
        <v>1.572165407066052</v>
      </c>
      <c r="AG67">
        <v>3.7830717037548173E-2</v>
      </c>
      <c r="AH67">
        <v>3.507997</v>
      </c>
      <c r="AI67">
        <v>2.344642826091356E-3</v>
      </c>
      <c r="AJ67">
        <v>0.87761677105197067</v>
      </c>
      <c r="AK67">
        <v>0.120038586121938</v>
      </c>
      <c r="AL67">
        <v>6.1092013476636382E-3</v>
      </c>
      <c r="AM67">
        <v>2.286718258653015</v>
      </c>
      <c r="AN67">
        <v>0.31277253999932147</v>
      </c>
      <c r="AO67">
        <v>2.4626589999999999</v>
      </c>
      <c r="AP67">
        <v>1.497445144206404E-2</v>
      </c>
      <c r="AQ67">
        <v>1.264892947013777E-2</v>
      </c>
      <c r="AR67">
        <v>0.7658488428601733</v>
      </c>
      <c r="AS67">
        <v>0.22150222766968899</v>
      </c>
      <c r="AT67">
        <v>3.2958050627390961E-2</v>
      </c>
      <c r="AU67">
        <v>1.995495744956467</v>
      </c>
      <c r="AV67">
        <v>0.57714620441614151</v>
      </c>
      <c r="AW67">
        <v>2.1419999999999999</v>
      </c>
      <c r="AX67">
        <v>4.8874136060956981E-2</v>
      </c>
      <c r="AY67">
        <v>1.0702614379084969E-2</v>
      </c>
      <c r="AZ67">
        <v>0.82079756156827455</v>
      </c>
      <c r="BA67">
        <v>0.1684998240526405</v>
      </c>
      <c r="BB67">
        <v>2.78867320261438E-2</v>
      </c>
      <c r="BC67">
        <v>2.138670126422296</v>
      </c>
      <c r="BD67">
        <v>0.43904314155155999</v>
      </c>
    </row>
    <row r="68" spans="1:56" x14ac:dyDescent="0.25">
      <c r="A68" t="s">
        <v>367</v>
      </c>
      <c r="B68" t="s">
        <v>363</v>
      </c>
      <c r="C68" t="s">
        <v>111</v>
      </c>
      <c r="D68">
        <v>7</v>
      </c>
      <c r="E68">
        <v>2024</v>
      </c>
      <c r="F68">
        <v>2</v>
      </c>
      <c r="G68">
        <v>4</v>
      </c>
      <c r="H68">
        <v>35</v>
      </c>
      <c r="I68" t="s">
        <v>368</v>
      </c>
      <c r="J68">
        <v>-58.257119633333303</v>
      </c>
      <c r="K68">
        <v>-64.589057216666603</v>
      </c>
      <c r="L68" t="s">
        <v>21</v>
      </c>
      <c r="M68" t="s">
        <v>138</v>
      </c>
      <c r="N68" t="s">
        <v>138</v>
      </c>
      <c r="O68" t="s">
        <v>138</v>
      </c>
      <c r="P68" t="s">
        <v>138</v>
      </c>
      <c r="Q68">
        <v>0.3659</v>
      </c>
      <c r="R68">
        <v>0</v>
      </c>
      <c r="S68">
        <v>9.5799999999999996E-2</v>
      </c>
      <c r="T68">
        <v>0.05</v>
      </c>
      <c r="U68">
        <v>0.99639999999999995</v>
      </c>
      <c r="V68">
        <v>1.7500000000000002E-2</v>
      </c>
      <c r="W68">
        <v>0</v>
      </c>
      <c r="X68" t="s">
        <v>138</v>
      </c>
      <c r="Y68" t="s">
        <v>138</v>
      </c>
      <c r="Z68">
        <v>2.7046999999999999</v>
      </c>
      <c r="AA68">
        <v>1.2706</v>
      </c>
      <c r="AB68">
        <v>0.40604360144813478</v>
      </c>
      <c r="AC68">
        <v>0.58004564772548395</v>
      </c>
      <c r="AD68">
        <v>1.3910750826381241E-2</v>
      </c>
      <c r="AE68">
        <v>1.0982261288367701</v>
      </c>
      <c r="AF68">
        <v>1.568849463403116</v>
      </c>
      <c r="AG68">
        <v>3.7624407760113339E-2</v>
      </c>
      <c r="AH68">
        <v>3.6889500000000002</v>
      </c>
      <c r="AI68">
        <v>2.2296317380284358E-3</v>
      </c>
      <c r="AJ68">
        <v>0.86783393648599194</v>
      </c>
      <c r="AK68">
        <v>0.12993643177597961</v>
      </c>
      <c r="AL68">
        <v>6.0304849618455112E-3</v>
      </c>
      <c r="AM68">
        <v>2.3472304480136619</v>
      </c>
      <c r="AN68">
        <v>0.35143906702449212</v>
      </c>
      <c r="AO68">
        <v>2.5677720000000002</v>
      </c>
      <c r="AP68">
        <v>1.496333892052523E-2</v>
      </c>
      <c r="AQ68">
        <v>1.213113936907171E-2</v>
      </c>
      <c r="AR68">
        <v>0.7500635608308347</v>
      </c>
      <c r="AS68">
        <v>0.23780529980009371</v>
      </c>
      <c r="AT68">
        <v>3.2811092651528248E-2</v>
      </c>
      <c r="AU68">
        <v>2.028696912979159</v>
      </c>
      <c r="AV68">
        <v>0.64319199436931329</v>
      </c>
      <c r="AW68">
        <v>2.2315510000000001</v>
      </c>
      <c r="AX68">
        <v>4.9022742724168081E-2</v>
      </c>
      <c r="AY68">
        <v>1.027312393935877E-2</v>
      </c>
      <c r="AZ68">
        <v>0.80512861482503362</v>
      </c>
      <c r="BA68">
        <v>0.18459826123560771</v>
      </c>
      <c r="BB68">
        <v>2.778571831878366E-2</v>
      </c>
      <c r="BC68">
        <v>2.1776313645172678</v>
      </c>
      <c r="BD68">
        <v>0.49928291716394801</v>
      </c>
    </row>
    <row r="69" spans="1:56" x14ac:dyDescent="0.25">
      <c r="A69" t="s">
        <v>369</v>
      </c>
      <c r="B69" t="s">
        <v>237</v>
      </c>
      <c r="C69" t="s">
        <v>111</v>
      </c>
      <c r="D69">
        <v>7</v>
      </c>
      <c r="E69">
        <v>2024</v>
      </c>
      <c r="F69">
        <v>2</v>
      </c>
      <c r="G69">
        <v>5</v>
      </c>
      <c r="H69">
        <v>36</v>
      </c>
      <c r="I69" t="s">
        <v>370</v>
      </c>
      <c r="J69">
        <v>-55.712751683333302</v>
      </c>
      <c r="K69">
        <v>-64.285759433333297</v>
      </c>
      <c r="L69" t="s">
        <v>138</v>
      </c>
      <c r="M69" t="s">
        <v>138</v>
      </c>
      <c r="N69" t="s">
        <v>138</v>
      </c>
      <c r="O69" t="s">
        <v>138</v>
      </c>
      <c r="P69" t="s">
        <v>138</v>
      </c>
      <c r="Q69">
        <v>0.11070000000000001</v>
      </c>
      <c r="R69">
        <v>6.7999999999999996E-3</v>
      </c>
      <c r="S69">
        <v>4.24E-2</v>
      </c>
      <c r="T69">
        <v>5.4000000000000003E-3</v>
      </c>
      <c r="U69">
        <v>6.4699999999999994E-2</v>
      </c>
      <c r="V69">
        <v>7.7999999999999996E-3</v>
      </c>
      <c r="W69">
        <v>5.9999999999999995E-4</v>
      </c>
      <c r="X69" t="s">
        <v>138</v>
      </c>
      <c r="Y69" t="s">
        <v>138</v>
      </c>
      <c r="Z69">
        <v>0.37240000000000001</v>
      </c>
      <c r="AA69">
        <v>0.26862700000000012</v>
      </c>
      <c r="AB69">
        <v>0.61674738578028265</v>
      </c>
      <c r="AC69">
        <v>0.35200482453364701</v>
      </c>
      <c r="AD69">
        <v>3.1247789686070261E-2</v>
      </c>
      <c r="AE69">
        <v>0.22967672646457729</v>
      </c>
      <c r="AF69">
        <v>0.1310865966563301</v>
      </c>
      <c r="AG69">
        <v>1.163667687909257E-2</v>
      </c>
      <c r="AH69">
        <v>0.51495000000000002</v>
      </c>
      <c r="AI69">
        <v>8.890183512962422E-3</v>
      </c>
      <c r="AJ69">
        <v>0.70513836294785903</v>
      </c>
      <c r="AK69">
        <v>0.28597145353917858</v>
      </c>
      <c r="AL69">
        <v>3.310704340227206E-3</v>
      </c>
      <c r="AM69">
        <v>0.26259352636178268</v>
      </c>
      <c r="AN69">
        <v>0.10649576929799009</v>
      </c>
      <c r="AO69">
        <v>0.38688000000000011</v>
      </c>
      <c r="AP69">
        <v>8.7914432484589714E-4</v>
      </c>
      <c r="AQ69">
        <v>3.7499999999999992E-2</v>
      </c>
      <c r="AR69">
        <v>0.44186236333031392</v>
      </c>
      <c r="AS69">
        <v>0.52063763666968599</v>
      </c>
      <c r="AT69">
        <v>1.3965E-2</v>
      </c>
      <c r="AU69">
        <v>0.16454954410420891</v>
      </c>
      <c r="AV69">
        <v>0.19388545589579109</v>
      </c>
      <c r="AW69">
        <v>0.31229200000000001</v>
      </c>
      <c r="AX69">
        <v>6.2806973608294878E-3</v>
      </c>
      <c r="AY69">
        <v>3.5217040462131588E-2</v>
      </c>
      <c r="AZ69">
        <v>0.51029455307557781</v>
      </c>
      <c r="BA69">
        <v>0.45448840646229061</v>
      </c>
      <c r="BB69">
        <v>1.31148258680978E-2</v>
      </c>
      <c r="BC69">
        <v>0.19003369156534519</v>
      </c>
      <c r="BD69">
        <v>0.169251482566557</v>
      </c>
    </row>
    <row r="70" spans="1:56" x14ac:dyDescent="0.25">
      <c r="A70" t="s">
        <v>371</v>
      </c>
      <c r="B70" t="s">
        <v>237</v>
      </c>
      <c r="C70" t="s">
        <v>111</v>
      </c>
      <c r="D70">
        <v>7</v>
      </c>
      <c r="E70">
        <v>2024</v>
      </c>
      <c r="F70">
        <v>2</v>
      </c>
      <c r="G70">
        <v>5</v>
      </c>
      <c r="H70">
        <v>36</v>
      </c>
      <c r="I70" t="s">
        <v>372</v>
      </c>
      <c r="J70">
        <v>-55.511703933333301</v>
      </c>
      <c r="K70">
        <v>-64.162453083333304</v>
      </c>
      <c r="L70" t="s">
        <v>138</v>
      </c>
      <c r="M70" t="s">
        <v>138</v>
      </c>
      <c r="N70" t="s">
        <v>138</v>
      </c>
      <c r="O70" t="s">
        <v>138</v>
      </c>
      <c r="P70" t="s">
        <v>138</v>
      </c>
      <c r="Q70">
        <v>0.1623</v>
      </c>
      <c r="R70">
        <v>0</v>
      </c>
      <c r="S70">
        <v>4.58E-2</v>
      </c>
      <c r="T70">
        <v>9.1999999999999998E-3</v>
      </c>
      <c r="U70">
        <v>7.1499999999999994E-2</v>
      </c>
      <c r="V70">
        <v>1.46E-2</v>
      </c>
      <c r="W70">
        <v>1.1999999999999999E-3</v>
      </c>
      <c r="X70" t="s">
        <v>138</v>
      </c>
      <c r="Y70" t="s">
        <v>138</v>
      </c>
      <c r="Z70">
        <v>0.50460000000000005</v>
      </c>
      <c r="AA70">
        <v>0.34890700000000002</v>
      </c>
      <c r="AB70">
        <v>0.65588537919846834</v>
      </c>
      <c r="AC70">
        <v>0.29889340139349452</v>
      </c>
      <c r="AD70">
        <v>4.5221219408037097E-2</v>
      </c>
      <c r="AE70">
        <v>0.33095976234354718</v>
      </c>
      <c r="AF70">
        <v>0.15082161034315739</v>
      </c>
      <c r="AG70">
        <v>2.2818627313295529E-2</v>
      </c>
      <c r="AH70">
        <v>0.66937999999999998</v>
      </c>
      <c r="AI70">
        <v>1.29761869192387E-2</v>
      </c>
      <c r="AJ70">
        <v>0.66939705399025962</v>
      </c>
      <c r="AK70">
        <v>0.31762675909050159</v>
      </c>
      <c r="AL70">
        <v>6.5477839194478466E-3</v>
      </c>
      <c r="AM70">
        <v>0.33777775344348498</v>
      </c>
      <c r="AN70">
        <v>0.16027446263706721</v>
      </c>
      <c r="AO70">
        <v>0.49732999999999999</v>
      </c>
      <c r="AP70">
        <v>1.6705603826748371E-3</v>
      </c>
      <c r="AQ70">
        <v>5.4764442120925738E-2</v>
      </c>
      <c r="AR70">
        <v>0.38324407348411349</v>
      </c>
      <c r="AS70">
        <v>0.56199148439496049</v>
      </c>
      <c r="AT70">
        <v>2.763413749421913E-2</v>
      </c>
      <c r="AU70">
        <v>0.19338495948008369</v>
      </c>
      <c r="AV70">
        <v>0.28358090302569711</v>
      </c>
      <c r="AW70">
        <v>0.40033600000000003</v>
      </c>
      <c r="AX70">
        <v>1.003212070405575E-2</v>
      </c>
      <c r="AY70">
        <v>5.1671595859478038E-2</v>
      </c>
      <c r="AZ70">
        <v>0.45387313885154601</v>
      </c>
      <c r="BA70">
        <v>0.4944552652889761</v>
      </c>
      <c r="BB70">
        <v>2.607348727069262E-2</v>
      </c>
      <c r="BC70">
        <v>0.22902438586449009</v>
      </c>
      <c r="BD70">
        <v>0.2495021268648174</v>
      </c>
    </row>
    <row r="71" spans="1:56" x14ac:dyDescent="0.25">
      <c r="A71" t="s">
        <v>236</v>
      </c>
      <c r="B71" t="s">
        <v>237</v>
      </c>
      <c r="C71" t="s">
        <v>111</v>
      </c>
      <c r="D71">
        <v>7</v>
      </c>
      <c r="E71">
        <v>2024</v>
      </c>
      <c r="F71">
        <v>2</v>
      </c>
      <c r="G71">
        <v>5</v>
      </c>
      <c r="H71">
        <v>36</v>
      </c>
      <c r="I71" t="s">
        <v>238</v>
      </c>
      <c r="J71">
        <v>-54.921794499999997</v>
      </c>
      <c r="K71">
        <v>-63.9647063166666</v>
      </c>
      <c r="L71" t="s">
        <v>138</v>
      </c>
      <c r="M71" t="s">
        <v>138</v>
      </c>
      <c r="N71" t="s">
        <v>138</v>
      </c>
      <c r="O71" t="s">
        <v>138</v>
      </c>
      <c r="P71" t="s">
        <v>138</v>
      </c>
      <c r="Q71">
        <v>0.32669999999999999</v>
      </c>
      <c r="R71">
        <v>1.9900000000000001E-2</v>
      </c>
      <c r="S71">
        <v>8.3699999999999997E-2</v>
      </c>
      <c r="T71">
        <v>1.6299999999999999E-2</v>
      </c>
      <c r="U71">
        <v>0.11210000000000001</v>
      </c>
      <c r="V71">
        <v>3.5999999999999997E-2</v>
      </c>
      <c r="W71">
        <v>0</v>
      </c>
      <c r="X71" t="s">
        <v>138</v>
      </c>
      <c r="Y71" t="s">
        <v>138</v>
      </c>
      <c r="Z71">
        <v>0.93510000000000004</v>
      </c>
      <c r="AA71">
        <v>0.7043299999999999</v>
      </c>
      <c r="AB71">
        <v>0.6938594124913039</v>
      </c>
      <c r="AC71">
        <v>0.25451705876506753</v>
      </c>
      <c r="AD71">
        <v>5.1623528743628702E-2</v>
      </c>
      <c r="AE71">
        <v>0.64882793662061833</v>
      </c>
      <c r="AF71">
        <v>0.23799890165121471</v>
      </c>
      <c r="AG71">
        <v>4.8273161728167202E-2</v>
      </c>
      <c r="AH71">
        <v>1.2848250000000001</v>
      </c>
      <c r="AI71">
        <v>1.3169108633471481E-2</v>
      </c>
      <c r="AJ71">
        <v>0.6486182943202381</v>
      </c>
      <c r="AK71">
        <v>0.33821259704629031</v>
      </c>
      <c r="AL71">
        <v>1.2314433483159181E-2</v>
      </c>
      <c r="AM71">
        <v>0.60652296701885466</v>
      </c>
      <c r="AN71">
        <v>0.31626259949798607</v>
      </c>
      <c r="AO71">
        <v>0.97283500000000012</v>
      </c>
      <c r="AP71">
        <v>3.9100518194461302E-3</v>
      </c>
      <c r="AQ71">
        <v>6.5869340638443297E-2</v>
      </c>
      <c r="AR71">
        <v>0.32570013431448941</v>
      </c>
      <c r="AS71">
        <v>0.60843052504706729</v>
      </c>
      <c r="AT71">
        <v>6.159442043100833E-2</v>
      </c>
      <c r="AU71">
        <v>0.30456219559747899</v>
      </c>
      <c r="AV71">
        <v>0.56894338397151267</v>
      </c>
      <c r="AW71">
        <v>0.76807899999999985</v>
      </c>
      <c r="AX71">
        <v>1.840367500474838E-2</v>
      </c>
      <c r="AY71">
        <v>6.1399934121359932E-2</v>
      </c>
      <c r="AZ71">
        <v>0.39322098053217569</v>
      </c>
      <c r="BA71">
        <v>0.54537908534646462</v>
      </c>
      <c r="BB71">
        <v>5.7415078396883673E-2</v>
      </c>
      <c r="BC71">
        <v>0.36770093889563749</v>
      </c>
      <c r="BD71">
        <v>0.50998398270747913</v>
      </c>
    </row>
    <row r="72" spans="1:56" x14ac:dyDescent="0.25">
      <c r="A72" t="s">
        <v>239</v>
      </c>
      <c r="B72" t="s">
        <v>237</v>
      </c>
      <c r="C72" t="s">
        <v>111</v>
      </c>
      <c r="D72">
        <v>7</v>
      </c>
      <c r="E72">
        <v>2024</v>
      </c>
      <c r="F72">
        <v>2</v>
      </c>
      <c r="G72">
        <v>6</v>
      </c>
      <c r="H72">
        <v>37</v>
      </c>
      <c r="I72" t="s">
        <v>240</v>
      </c>
      <c r="J72">
        <v>-53.168609383333298</v>
      </c>
      <c r="K72">
        <v>-63.521857016666601</v>
      </c>
      <c r="L72" t="s">
        <v>138</v>
      </c>
      <c r="M72" t="s">
        <v>138</v>
      </c>
      <c r="N72" t="s">
        <v>138</v>
      </c>
      <c r="O72" t="s">
        <v>138</v>
      </c>
      <c r="P72" t="s">
        <v>138</v>
      </c>
      <c r="Q72">
        <v>0.10199999999999999</v>
      </c>
      <c r="R72">
        <v>0</v>
      </c>
      <c r="S72">
        <v>6.7100000000000007E-2</v>
      </c>
      <c r="T72">
        <v>4.7999999999999996E-3</v>
      </c>
      <c r="U72">
        <v>0.1053</v>
      </c>
      <c r="V72">
        <v>0</v>
      </c>
      <c r="W72">
        <v>0</v>
      </c>
      <c r="X72" t="s">
        <v>138</v>
      </c>
      <c r="Y72" t="s">
        <v>138</v>
      </c>
      <c r="Z72">
        <v>0.3805</v>
      </c>
      <c r="AA72">
        <v>0.29389700000000002</v>
      </c>
      <c r="AB72">
        <v>0.48935511420667782</v>
      </c>
      <c r="AC72">
        <v>0.51064488579332223</v>
      </c>
      <c r="AD72">
        <v>0</v>
      </c>
      <c r="AE72">
        <v>0.18619962095564091</v>
      </c>
      <c r="AF72">
        <v>0.1943003790443591</v>
      </c>
      <c r="AG72">
        <v>0</v>
      </c>
      <c r="AH72">
        <v>0.60360900000000006</v>
      </c>
      <c r="AI72">
        <v>0</v>
      </c>
      <c r="AJ72">
        <v>0.77863153133899587</v>
      </c>
      <c r="AK72">
        <v>0.22136846866100399</v>
      </c>
      <c r="AL72">
        <v>0</v>
      </c>
      <c r="AM72">
        <v>0.29626929767448801</v>
      </c>
      <c r="AN72">
        <v>8.4230702325512025E-2</v>
      </c>
      <c r="AO72">
        <v>0.44865200000000011</v>
      </c>
      <c r="AP72">
        <v>8.8414565421244E-4</v>
      </c>
      <c r="AQ72">
        <v>0</v>
      </c>
      <c r="AR72">
        <v>0.60784397135938251</v>
      </c>
      <c r="AS72">
        <v>0.39215602864061749</v>
      </c>
      <c r="AT72">
        <v>0</v>
      </c>
      <c r="AU72">
        <v>0.23128463110224501</v>
      </c>
      <c r="AV72">
        <v>0.149215368897755</v>
      </c>
      <c r="AW72">
        <v>0.37345800000000001</v>
      </c>
      <c r="AX72">
        <v>6.22873071868327E-3</v>
      </c>
      <c r="AY72">
        <v>0</v>
      </c>
      <c r="AZ72">
        <v>0.66662208316407268</v>
      </c>
      <c r="BA72">
        <v>0.33337791683592732</v>
      </c>
      <c r="BB72">
        <v>0</v>
      </c>
      <c r="BC72">
        <v>0.25364970264392972</v>
      </c>
      <c r="BD72">
        <v>0.12685029735607031</v>
      </c>
    </row>
    <row r="73" spans="1:56" x14ac:dyDescent="0.25">
      <c r="A73" t="s">
        <v>241</v>
      </c>
      <c r="B73" t="s">
        <v>242</v>
      </c>
      <c r="C73" t="s">
        <v>161</v>
      </c>
      <c r="D73">
        <v>7</v>
      </c>
      <c r="E73">
        <v>2024</v>
      </c>
      <c r="F73">
        <v>2</v>
      </c>
      <c r="G73">
        <v>7</v>
      </c>
      <c r="H73">
        <v>38</v>
      </c>
      <c r="I73" t="s">
        <v>243</v>
      </c>
      <c r="J73">
        <v>-47.971676216666602</v>
      </c>
      <c r="K73">
        <v>-64.133860033333306</v>
      </c>
      <c r="L73" t="s">
        <v>244</v>
      </c>
      <c r="M73" t="s">
        <v>138</v>
      </c>
      <c r="N73" t="s">
        <v>138</v>
      </c>
      <c r="O73" t="s">
        <v>138</v>
      </c>
      <c r="P73" t="s">
        <v>138</v>
      </c>
      <c r="Q73">
        <v>3.5099999999999999E-2</v>
      </c>
      <c r="R73">
        <v>0</v>
      </c>
      <c r="S73">
        <v>3.8699999999999998E-2</v>
      </c>
      <c r="T73">
        <v>4.1999999999999997E-3</v>
      </c>
      <c r="U73">
        <v>2.3999999999999998E-3</v>
      </c>
      <c r="V73">
        <v>0</v>
      </c>
      <c r="W73">
        <v>0</v>
      </c>
      <c r="X73" t="s">
        <v>138</v>
      </c>
      <c r="Y73" t="s">
        <v>138</v>
      </c>
      <c r="Z73">
        <v>9.7900000000000001E-2</v>
      </c>
      <c r="AA73">
        <v>0.10155</v>
      </c>
      <c r="AB73">
        <v>0.48735598227474147</v>
      </c>
      <c r="AC73">
        <v>0.51264401772525847</v>
      </c>
      <c r="AD73">
        <v>0</v>
      </c>
      <c r="AE73">
        <v>4.7712150664697188E-2</v>
      </c>
      <c r="AF73">
        <v>5.0187849335302813E-2</v>
      </c>
      <c r="AG73">
        <v>0</v>
      </c>
      <c r="AH73">
        <v>0.131967</v>
      </c>
      <c r="AI73">
        <v>0</v>
      </c>
      <c r="AJ73">
        <v>0.6515719839050671</v>
      </c>
      <c r="AK73">
        <v>0.34842801609493279</v>
      </c>
      <c r="AL73">
        <v>0</v>
      </c>
      <c r="AM73">
        <v>6.3788897224306071E-2</v>
      </c>
      <c r="AN73">
        <v>3.4111102775693923E-2</v>
      </c>
      <c r="AO73">
        <v>0.115596</v>
      </c>
      <c r="AP73">
        <v>6.3849805113153644E-4</v>
      </c>
      <c r="AQ73">
        <v>0</v>
      </c>
      <c r="AR73">
        <v>0.4812708623911629</v>
      </c>
      <c r="AS73">
        <v>0.51872913760883699</v>
      </c>
      <c r="AT73">
        <v>0</v>
      </c>
      <c r="AU73">
        <v>4.7116417428094852E-2</v>
      </c>
      <c r="AV73">
        <v>5.0783582571905142E-2</v>
      </c>
      <c r="AW73">
        <v>9.2388000000000012E-2</v>
      </c>
      <c r="AX73">
        <v>4.9808571891206072E-3</v>
      </c>
      <c r="AY73">
        <v>0</v>
      </c>
      <c r="AZ73">
        <v>0.57619078609621155</v>
      </c>
      <c r="BA73">
        <v>0.42380921390378851</v>
      </c>
      <c r="BB73">
        <v>0</v>
      </c>
      <c r="BC73">
        <v>5.6409077958819109E-2</v>
      </c>
      <c r="BD73">
        <v>4.1490922041180892E-2</v>
      </c>
    </row>
    <row r="74" spans="1:56" x14ac:dyDescent="0.25">
      <c r="A74" t="s">
        <v>245</v>
      </c>
      <c r="B74" t="s">
        <v>242</v>
      </c>
      <c r="C74" t="s">
        <v>164</v>
      </c>
      <c r="D74">
        <v>7</v>
      </c>
      <c r="E74">
        <v>2024</v>
      </c>
      <c r="F74">
        <v>2</v>
      </c>
      <c r="G74">
        <v>7</v>
      </c>
      <c r="H74">
        <v>38</v>
      </c>
      <c r="I74" t="s">
        <v>246</v>
      </c>
      <c r="J74">
        <v>-47.971679816666601</v>
      </c>
      <c r="K74">
        <v>-64.133860233333294</v>
      </c>
      <c r="L74" t="s">
        <v>244</v>
      </c>
      <c r="M74" t="s">
        <v>138</v>
      </c>
      <c r="N74" t="s">
        <v>138</v>
      </c>
      <c r="O74" t="s">
        <v>138</v>
      </c>
      <c r="P74" t="s">
        <v>138</v>
      </c>
      <c r="Q74">
        <v>2.2599999999999999E-2</v>
      </c>
      <c r="R74">
        <v>0</v>
      </c>
      <c r="S74">
        <v>3.6600000000000001E-2</v>
      </c>
      <c r="T74">
        <v>3.5000000000000001E-3</v>
      </c>
      <c r="U74">
        <v>1.8E-3</v>
      </c>
      <c r="V74">
        <v>0</v>
      </c>
      <c r="W74">
        <v>0</v>
      </c>
      <c r="X74" t="s">
        <v>138</v>
      </c>
      <c r="Y74" t="s">
        <v>138</v>
      </c>
      <c r="Z74">
        <v>8.1699999999999995E-2</v>
      </c>
      <c r="AA74">
        <v>8.0653000000000002E-2</v>
      </c>
      <c r="AB74">
        <v>0.39509999628036152</v>
      </c>
      <c r="AC74">
        <v>0.60490000371963837</v>
      </c>
      <c r="AD74">
        <v>0</v>
      </c>
      <c r="AE74">
        <v>3.2279669696105531E-2</v>
      </c>
      <c r="AF74">
        <v>4.942033030389445E-2</v>
      </c>
      <c r="AG74">
        <v>0</v>
      </c>
      <c r="AH74">
        <v>9.5806000000000002E-2</v>
      </c>
      <c r="AI74">
        <v>0</v>
      </c>
      <c r="AJ74">
        <v>0.69097968811974209</v>
      </c>
      <c r="AK74">
        <v>0.30902031188025803</v>
      </c>
      <c r="AL74">
        <v>0</v>
      </c>
      <c r="AM74">
        <v>5.6453040519382922E-2</v>
      </c>
      <c r="AN74">
        <v>2.524695948061708E-2</v>
      </c>
      <c r="AO74">
        <v>8.9801000000000006E-2</v>
      </c>
      <c r="AP74">
        <v>5.0792322072038432E-4</v>
      </c>
      <c r="AQ74">
        <v>0</v>
      </c>
      <c r="AR74">
        <v>0.5719400274390426</v>
      </c>
      <c r="AS74">
        <v>0.42805997256095729</v>
      </c>
      <c r="AT74">
        <v>0</v>
      </c>
      <c r="AU74">
        <v>4.6727500241769783E-2</v>
      </c>
      <c r="AV74">
        <v>3.4972499758230212E-2</v>
      </c>
      <c r="AW74">
        <v>7.2461999999999999E-2</v>
      </c>
      <c r="AX74">
        <v>4.2184611593097934E-3</v>
      </c>
      <c r="AY74">
        <v>0</v>
      </c>
      <c r="AZ74">
        <v>0.67022714674039818</v>
      </c>
      <c r="BA74">
        <v>0.32977285325960187</v>
      </c>
      <c r="BB74">
        <v>0</v>
      </c>
      <c r="BC74">
        <v>5.4757557888690529E-2</v>
      </c>
      <c r="BD74">
        <v>2.6942442111309469E-2</v>
      </c>
    </row>
    <row r="75" spans="1:56" x14ac:dyDescent="0.25">
      <c r="A75" t="s">
        <v>247</v>
      </c>
      <c r="B75" t="s">
        <v>242</v>
      </c>
      <c r="C75" t="s">
        <v>111</v>
      </c>
      <c r="D75">
        <v>7</v>
      </c>
      <c r="E75">
        <v>2024</v>
      </c>
      <c r="F75">
        <v>2</v>
      </c>
      <c r="G75">
        <v>7</v>
      </c>
      <c r="H75">
        <v>38</v>
      </c>
      <c r="I75" t="s">
        <v>248</v>
      </c>
      <c r="J75">
        <v>-47.9716763999999</v>
      </c>
      <c r="K75">
        <v>-64.133860183333297</v>
      </c>
      <c r="L75" t="s">
        <v>244</v>
      </c>
      <c r="M75" t="s">
        <v>138</v>
      </c>
      <c r="N75" t="s">
        <v>138</v>
      </c>
      <c r="O75" t="s">
        <v>138</v>
      </c>
      <c r="P75" t="s">
        <v>138</v>
      </c>
      <c r="Q75">
        <v>0.1101</v>
      </c>
      <c r="R75">
        <v>0</v>
      </c>
      <c r="S75">
        <v>4.5999999999999999E-2</v>
      </c>
      <c r="T75">
        <v>5.4999999999999997E-3</v>
      </c>
      <c r="U75">
        <v>2.8E-3</v>
      </c>
      <c r="V75">
        <v>0</v>
      </c>
      <c r="W75">
        <v>0</v>
      </c>
      <c r="X75" t="s">
        <v>138</v>
      </c>
      <c r="Y75" t="s">
        <v>138</v>
      </c>
      <c r="Z75">
        <v>0.18759999999999999</v>
      </c>
      <c r="AA75">
        <v>0.21726599999999999</v>
      </c>
      <c r="AB75">
        <v>0.714520449587142</v>
      </c>
      <c r="AC75">
        <v>0.285479550412858</v>
      </c>
      <c r="AD75">
        <v>0</v>
      </c>
      <c r="AE75">
        <v>0.1340440363425478</v>
      </c>
      <c r="AF75">
        <v>5.355596365745216E-2</v>
      </c>
      <c r="AG75">
        <v>0</v>
      </c>
      <c r="AH75">
        <v>0.33587400000000001</v>
      </c>
      <c r="AI75">
        <v>0</v>
      </c>
      <c r="AJ75">
        <v>0.57058003894317511</v>
      </c>
      <c r="AK75">
        <v>0.42941996105682489</v>
      </c>
      <c r="AL75">
        <v>0</v>
      </c>
      <c r="AM75">
        <v>0.1070408153057396</v>
      </c>
      <c r="AN75">
        <v>8.055918469426035E-2</v>
      </c>
      <c r="AO75">
        <v>0.25656699999999999</v>
      </c>
      <c r="AP75">
        <v>9.2103396850025995E-4</v>
      </c>
      <c r="AQ75">
        <v>0</v>
      </c>
      <c r="AR75">
        <v>0.25956416493621731</v>
      </c>
      <c r="AS75">
        <v>0.74043583506378274</v>
      </c>
      <c r="AT75">
        <v>0</v>
      </c>
      <c r="AU75">
        <v>4.8694237342034347E-2</v>
      </c>
      <c r="AV75">
        <v>0.13890576265796559</v>
      </c>
      <c r="AW75">
        <v>0.19903999999999999</v>
      </c>
      <c r="AX75">
        <v>6.4842515184467403E-3</v>
      </c>
      <c r="AY75">
        <v>0</v>
      </c>
      <c r="AZ75">
        <v>0.32324923117956578</v>
      </c>
      <c r="BA75">
        <v>0.67675076882043439</v>
      </c>
      <c r="BB75">
        <v>0</v>
      </c>
      <c r="BC75">
        <v>6.0641555769286537E-2</v>
      </c>
      <c r="BD75">
        <v>0.12695844423071351</v>
      </c>
    </row>
    <row r="76" spans="1:56" x14ac:dyDescent="0.25">
      <c r="A76" t="s">
        <v>249</v>
      </c>
      <c r="B76" t="s">
        <v>250</v>
      </c>
      <c r="C76" t="s">
        <v>111</v>
      </c>
      <c r="D76">
        <v>7</v>
      </c>
      <c r="E76">
        <v>2024</v>
      </c>
      <c r="F76">
        <v>2</v>
      </c>
      <c r="G76">
        <v>8</v>
      </c>
      <c r="H76">
        <v>39</v>
      </c>
      <c r="I76" t="s">
        <v>251</v>
      </c>
      <c r="J76">
        <v>-48.914315033333303</v>
      </c>
      <c r="K76">
        <v>-64.523948083333295</v>
      </c>
      <c r="L76" t="s">
        <v>252</v>
      </c>
      <c r="M76">
        <v>4.3969102706183456</v>
      </c>
      <c r="N76">
        <v>0.12520720479967651</v>
      </c>
      <c r="O76">
        <v>0.18348987061508279</v>
      </c>
      <c r="P76">
        <v>0.18892762097304461</v>
      </c>
      <c r="Q76">
        <v>6.4199999999999993E-2</v>
      </c>
      <c r="R76">
        <v>0</v>
      </c>
      <c r="S76">
        <v>3.1199999999999999E-2</v>
      </c>
      <c r="T76">
        <v>4.1999999999999997E-3</v>
      </c>
      <c r="U76">
        <v>2.3999999999999998E-3</v>
      </c>
      <c r="V76">
        <v>0</v>
      </c>
      <c r="W76">
        <v>0</v>
      </c>
      <c r="X76" t="s">
        <v>138</v>
      </c>
      <c r="Y76" t="s">
        <v>138</v>
      </c>
      <c r="Z76">
        <v>0.12570000000000001</v>
      </c>
      <c r="AA76">
        <v>0.13305600000000001</v>
      </c>
      <c r="AB76">
        <v>0.68033008658008665</v>
      </c>
      <c r="AC76">
        <v>0.31966991341991341</v>
      </c>
      <c r="AD76">
        <v>0</v>
      </c>
      <c r="AE76">
        <v>8.55174918831169E-2</v>
      </c>
      <c r="AF76">
        <v>4.018250811688312E-2</v>
      </c>
      <c r="AG76">
        <v>0</v>
      </c>
      <c r="AH76">
        <v>0.201684</v>
      </c>
      <c r="AI76">
        <v>0</v>
      </c>
      <c r="AJ76">
        <v>0.58300113048134705</v>
      </c>
      <c r="AK76">
        <v>0.41699886951865289</v>
      </c>
      <c r="AL76">
        <v>0</v>
      </c>
      <c r="AM76">
        <v>7.328324210150533E-2</v>
      </c>
      <c r="AN76">
        <v>5.2416757898494669E-2</v>
      </c>
      <c r="AO76">
        <v>0.15692999999999999</v>
      </c>
      <c r="AP76">
        <v>5.9725129626266114E-4</v>
      </c>
      <c r="AQ76">
        <v>0</v>
      </c>
      <c r="AR76">
        <v>0.29478886927609138</v>
      </c>
      <c r="AS76">
        <v>0.70521113072390851</v>
      </c>
      <c r="AT76">
        <v>0</v>
      </c>
      <c r="AU76">
        <v>3.7054960868004687E-2</v>
      </c>
      <c r="AV76">
        <v>8.8645039131995298E-2</v>
      </c>
      <c r="AW76">
        <v>0.122568</v>
      </c>
      <c r="AX76">
        <v>4.7708176318957138E-3</v>
      </c>
      <c r="AY76">
        <v>0</v>
      </c>
      <c r="AZ76">
        <v>0.36967285850682419</v>
      </c>
      <c r="BA76">
        <v>0.63032714149317581</v>
      </c>
      <c r="BB76">
        <v>0</v>
      </c>
      <c r="BC76">
        <v>4.6467878314307813E-2</v>
      </c>
      <c r="BD76">
        <v>7.92321216856922E-2</v>
      </c>
    </row>
    <row r="77" spans="1:56" x14ac:dyDescent="0.25">
      <c r="A77" t="s">
        <v>253</v>
      </c>
      <c r="B77" t="s">
        <v>254</v>
      </c>
      <c r="C77" t="s">
        <v>111</v>
      </c>
      <c r="D77">
        <v>7</v>
      </c>
      <c r="E77">
        <v>2024</v>
      </c>
      <c r="F77">
        <v>2</v>
      </c>
      <c r="G77">
        <v>9</v>
      </c>
      <c r="H77">
        <v>40</v>
      </c>
      <c r="I77" t="s">
        <v>255</v>
      </c>
      <c r="J77">
        <v>-49.609954899999998</v>
      </c>
      <c r="K77">
        <v>-64.524433616666599</v>
      </c>
      <c r="L77" t="s">
        <v>221</v>
      </c>
      <c r="M77" t="s">
        <v>138</v>
      </c>
      <c r="N77" t="s">
        <v>138</v>
      </c>
      <c r="O77" t="s">
        <v>138</v>
      </c>
      <c r="P77" t="s">
        <v>138</v>
      </c>
      <c r="Q77">
        <v>5.67E-2</v>
      </c>
      <c r="R77">
        <v>0</v>
      </c>
      <c r="S77">
        <v>4.0000000000000001E-3</v>
      </c>
      <c r="T77">
        <v>4.8999999999999998E-3</v>
      </c>
      <c r="U77">
        <v>2.5000000000000001E-3</v>
      </c>
      <c r="V77">
        <v>8.0000000000000002E-3</v>
      </c>
      <c r="W77">
        <v>0</v>
      </c>
      <c r="X77" t="s">
        <v>138</v>
      </c>
      <c r="Y77" t="s">
        <v>138</v>
      </c>
      <c r="Z77">
        <v>0.12230000000000001</v>
      </c>
      <c r="AA77">
        <v>9.6321999999999991E-2</v>
      </c>
      <c r="AB77">
        <v>0.82999730072049993</v>
      </c>
      <c r="AC77">
        <v>8.6117397894562006E-2</v>
      </c>
      <c r="AD77">
        <v>8.3885301384938035E-2</v>
      </c>
      <c r="AE77">
        <v>0.1015086698781171</v>
      </c>
      <c r="AF77">
        <v>1.0532157762504929E-2</v>
      </c>
      <c r="AG77">
        <v>1.025917235937792E-2</v>
      </c>
      <c r="AH77">
        <v>0.166154</v>
      </c>
      <c r="AI77">
        <v>2.262960867628826E-2</v>
      </c>
      <c r="AJ77">
        <v>0.53033330524693956</v>
      </c>
      <c r="AK77">
        <v>0.44703708607677223</v>
      </c>
      <c r="AL77">
        <v>2.7676011411100539E-3</v>
      </c>
      <c r="AM77">
        <v>6.4859763231700715E-2</v>
      </c>
      <c r="AN77">
        <v>5.4672635627189242E-2</v>
      </c>
      <c r="AO77">
        <v>0.12495299999999999</v>
      </c>
      <c r="AP77">
        <v>3.7780356368162071E-4</v>
      </c>
      <c r="AQ77">
        <v>0.1139628500316119</v>
      </c>
      <c r="AR77">
        <v>0.1017372788232857</v>
      </c>
      <c r="AS77">
        <v>0.78429987114510225</v>
      </c>
      <c r="AT77">
        <v>1.393765655886613E-2</v>
      </c>
      <c r="AU77">
        <v>1.244246920008784E-2</v>
      </c>
      <c r="AV77">
        <v>9.5919874241046005E-2</v>
      </c>
      <c r="AW77">
        <v>9.6287999999999999E-2</v>
      </c>
      <c r="AX77">
        <v>3.6064396264776939E-3</v>
      </c>
      <c r="AY77">
        <v>0.1088401462279827</v>
      </c>
      <c r="AZ77">
        <v>0.17433503151401011</v>
      </c>
      <c r="BA77">
        <v>0.71682482225800714</v>
      </c>
      <c r="BB77">
        <v>1.331114988368229E-2</v>
      </c>
      <c r="BC77">
        <v>2.132117435416343E-2</v>
      </c>
      <c r="BD77">
        <v>8.7667675762154285E-2</v>
      </c>
    </row>
    <row r="78" spans="1:56" x14ac:dyDescent="0.25">
      <c r="A78" t="s">
        <v>256</v>
      </c>
      <c r="B78" t="s">
        <v>254</v>
      </c>
      <c r="C78" t="s">
        <v>161</v>
      </c>
      <c r="D78">
        <v>7</v>
      </c>
      <c r="E78">
        <v>2024</v>
      </c>
      <c r="F78">
        <v>2</v>
      </c>
      <c r="G78">
        <v>9</v>
      </c>
      <c r="H78">
        <v>40</v>
      </c>
      <c r="I78" t="s">
        <v>257</v>
      </c>
      <c r="J78">
        <v>-49.6116550333333</v>
      </c>
      <c r="K78">
        <v>-64.523234716666593</v>
      </c>
      <c r="L78" t="s">
        <v>221</v>
      </c>
      <c r="M78" t="s">
        <v>138</v>
      </c>
      <c r="N78" t="s">
        <v>138</v>
      </c>
      <c r="O78" t="s">
        <v>138</v>
      </c>
      <c r="P78" t="s">
        <v>138</v>
      </c>
      <c r="Q78">
        <v>2.2700000000000001E-2</v>
      </c>
      <c r="R78">
        <v>0</v>
      </c>
      <c r="S78">
        <v>2.9399999999999999E-2</v>
      </c>
      <c r="T78">
        <v>4.1999999999999997E-3</v>
      </c>
      <c r="U78">
        <v>1.5E-3</v>
      </c>
      <c r="V78">
        <v>7.0000000000000001E-3</v>
      </c>
      <c r="W78">
        <v>0</v>
      </c>
      <c r="X78" t="s">
        <v>138</v>
      </c>
      <c r="Y78" t="s">
        <v>138</v>
      </c>
      <c r="Z78">
        <v>8.6900000000000005E-2</v>
      </c>
      <c r="AA78">
        <v>7.8784999999999994E-2</v>
      </c>
      <c r="AB78">
        <v>0.40625753633305839</v>
      </c>
      <c r="AC78">
        <v>0.50400456939772798</v>
      </c>
      <c r="AD78">
        <v>8.9737894269213692E-2</v>
      </c>
      <c r="AE78">
        <v>3.5303779907342778E-2</v>
      </c>
      <c r="AF78">
        <v>4.3797997080662572E-2</v>
      </c>
      <c r="AG78">
        <v>7.79822301199467E-3</v>
      </c>
      <c r="AH78">
        <v>9.559200000000001E-2</v>
      </c>
      <c r="AI78">
        <v>3.4417106033977733E-2</v>
      </c>
      <c r="AJ78">
        <v>0.65450037660055227</v>
      </c>
      <c r="AK78">
        <v>0.31108251736546988</v>
      </c>
      <c r="AL78">
        <v>2.9908465143526652E-3</v>
      </c>
      <c r="AM78">
        <v>5.6876082726587993E-2</v>
      </c>
      <c r="AN78">
        <v>2.7033070759059339E-2</v>
      </c>
      <c r="AO78">
        <v>9.3364000000000003E-2</v>
      </c>
      <c r="AP78">
        <v>5.8634989172222124E-4</v>
      </c>
      <c r="AQ78">
        <v>0.13345615012210271</v>
      </c>
      <c r="AR78">
        <v>0.4544176428987261</v>
      </c>
      <c r="AS78">
        <v>0.41212620697917118</v>
      </c>
      <c r="AT78">
        <v>1.1597339445610731E-2</v>
      </c>
      <c r="AU78">
        <v>3.9488893167899303E-2</v>
      </c>
      <c r="AV78">
        <v>3.5813767386489982E-2</v>
      </c>
      <c r="AW78">
        <v>7.4511999999999995E-2</v>
      </c>
      <c r="AX78">
        <v>4.7144535694383701E-3</v>
      </c>
      <c r="AY78">
        <v>0.12306742538114671</v>
      </c>
      <c r="AZ78">
        <v>0.56314136837381745</v>
      </c>
      <c r="BA78">
        <v>0.31379120624503598</v>
      </c>
      <c r="BB78">
        <v>1.0694559265621651E-2</v>
      </c>
      <c r="BC78">
        <v>4.8936984911684737E-2</v>
      </c>
      <c r="BD78">
        <v>2.7268455822693629E-2</v>
      </c>
    </row>
    <row r="79" spans="1:56" x14ac:dyDescent="0.25">
      <c r="A79" t="s">
        <v>258</v>
      </c>
      <c r="B79" t="s">
        <v>254</v>
      </c>
      <c r="C79" t="s">
        <v>164</v>
      </c>
      <c r="D79">
        <v>7</v>
      </c>
      <c r="E79">
        <v>2024</v>
      </c>
      <c r="F79">
        <v>2</v>
      </c>
      <c r="G79">
        <v>9</v>
      </c>
      <c r="H79">
        <v>40</v>
      </c>
      <c r="I79" t="s">
        <v>259</v>
      </c>
      <c r="J79">
        <v>-49.613263033333297</v>
      </c>
      <c r="K79">
        <v>-64.522556133333296</v>
      </c>
      <c r="L79" t="s">
        <v>221</v>
      </c>
      <c r="M79" t="s">
        <v>138</v>
      </c>
      <c r="N79" t="s">
        <v>138</v>
      </c>
      <c r="O79" t="s">
        <v>138</v>
      </c>
      <c r="P79" t="s">
        <v>138</v>
      </c>
      <c r="Q79">
        <v>1.7999999999999999E-2</v>
      </c>
      <c r="R79">
        <v>0</v>
      </c>
      <c r="S79">
        <v>2.8899999999999999E-2</v>
      </c>
      <c r="T79">
        <v>4.4999999999999997E-3</v>
      </c>
      <c r="U79">
        <v>1.1000000000000001E-3</v>
      </c>
      <c r="V79">
        <v>4.0000000000000001E-3</v>
      </c>
      <c r="W79">
        <v>0</v>
      </c>
      <c r="X79" t="s">
        <v>138</v>
      </c>
      <c r="Y79" t="s">
        <v>138</v>
      </c>
      <c r="Z79">
        <v>7.8399999999999997E-2</v>
      </c>
      <c r="AA79">
        <v>6.8357999999999988E-2</v>
      </c>
      <c r="AB79">
        <v>0.37128061090143072</v>
      </c>
      <c r="AC79">
        <v>0.56961877176043785</v>
      </c>
      <c r="AD79">
        <v>5.9100617338131607E-2</v>
      </c>
      <c r="AE79">
        <v>2.910839989467217E-2</v>
      </c>
      <c r="AF79">
        <v>4.4658111706018327E-2</v>
      </c>
      <c r="AG79">
        <v>4.6334883993095176E-3</v>
      </c>
      <c r="AH79">
        <v>7.8967000000000009E-2</v>
      </c>
      <c r="AI79">
        <v>2.3807413223245151E-2</v>
      </c>
      <c r="AJ79">
        <v>0.6775868400724353</v>
      </c>
      <c r="AK79">
        <v>0.2986057467043195</v>
      </c>
      <c r="AL79">
        <v>1.86650119670242E-3</v>
      </c>
      <c r="AM79">
        <v>5.3122808261678929E-2</v>
      </c>
      <c r="AN79">
        <v>2.3410690541618651E-2</v>
      </c>
      <c r="AO79">
        <v>7.8686999999999993E-2</v>
      </c>
      <c r="AP79">
        <v>6.3183669868845625E-4</v>
      </c>
      <c r="AQ79">
        <v>9.9593579625605277E-2</v>
      </c>
      <c r="AR79">
        <v>0.51634546819319482</v>
      </c>
      <c r="AS79">
        <v>0.38406095218120012</v>
      </c>
      <c r="AT79">
        <v>7.8081366426474537E-3</v>
      </c>
      <c r="AU79">
        <v>4.0481484706346473E-2</v>
      </c>
      <c r="AV79">
        <v>3.0110378651006079E-2</v>
      </c>
      <c r="AW79">
        <v>6.3568E-2</v>
      </c>
      <c r="AX79">
        <v>4.9820743593680956E-3</v>
      </c>
      <c r="AY79">
        <v>9.1705889755852019E-2</v>
      </c>
      <c r="AZ79">
        <v>0.64207048620655871</v>
      </c>
      <c r="BA79">
        <v>0.26622362403758931</v>
      </c>
      <c r="BB79">
        <v>7.1897417568587982E-3</v>
      </c>
      <c r="BC79">
        <v>5.03383261185942E-2</v>
      </c>
      <c r="BD79">
        <v>2.0871932124547E-2</v>
      </c>
    </row>
    <row r="80" spans="1:56" x14ac:dyDescent="0.25">
      <c r="A80" t="s">
        <v>260</v>
      </c>
      <c r="B80" t="s">
        <v>261</v>
      </c>
      <c r="C80" t="s">
        <v>111</v>
      </c>
      <c r="D80">
        <v>7</v>
      </c>
      <c r="E80">
        <v>2024</v>
      </c>
      <c r="F80">
        <v>2</v>
      </c>
      <c r="G80">
        <v>10</v>
      </c>
      <c r="H80">
        <v>41</v>
      </c>
      <c r="I80" t="s">
        <v>109</v>
      </c>
      <c r="J80">
        <v>-50.852171816666598</v>
      </c>
      <c r="K80">
        <v>-64.445841450000003</v>
      </c>
      <c r="L80" t="s">
        <v>26</v>
      </c>
      <c r="M80" t="s">
        <v>138</v>
      </c>
      <c r="N80" t="s">
        <v>138</v>
      </c>
      <c r="O80" t="s">
        <v>138</v>
      </c>
      <c r="P80" t="s">
        <v>138</v>
      </c>
      <c r="Q80">
        <v>3.7199999999999997E-2</v>
      </c>
      <c r="R80">
        <v>0</v>
      </c>
      <c r="S80">
        <v>6.1400000000000003E-2</v>
      </c>
      <c r="T80">
        <v>7.7000000000000002E-3</v>
      </c>
      <c r="U80">
        <v>3.2000000000000002E-3</v>
      </c>
      <c r="V80">
        <v>2.07E-2</v>
      </c>
      <c r="W80">
        <v>0</v>
      </c>
      <c r="X80" t="s">
        <v>138</v>
      </c>
      <c r="Y80" t="s">
        <v>138</v>
      </c>
      <c r="Z80">
        <v>0.16650000000000001</v>
      </c>
      <c r="AA80">
        <v>0.15595200000000001</v>
      </c>
      <c r="AB80">
        <v>0.33633425669436751</v>
      </c>
      <c r="AC80">
        <v>0.5296052631578948</v>
      </c>
      <c r="AD80">
        <v>0.13406048014773769</v>
      </c>
      <c r="AE80">
        <v>5.599965373961218E-2</v>
      </c>
      <c r="AF80">
        <v>8.8179276315789493E-2</v>
      </c>
      <c r="AG80">
        <v>2.2321069944598339E-2</v>
      </c>
      <c r="AH80">
        <v>0.178788</v>
      </c>
      <c r="AI80">
        <v>5.4416403785488947E-2</v>
      </c>
      <c r="AJ80">
        <v>0.67301496744747968</v>
      </c>
      <c r="AK80">
        <v>0.27256862876703131</v>
      </c>
      <c r="AL80">
        <v>9.0603312302839113E-3</v>
      </c>
      <c r="AM80">
        <v>0.1120569920800054</v>
      </c>
      <c r="AN80">
        <v>4.5382676689710723E-2</v>
      </c>
      <c r="AO80">
        <v>0.18757699999999999</v>
      </c>
      <c r="AP80">
        <v>1.488200466211482E-3</v>
      </c>
      <c r="AQ80">
        <v>0.1964313321995767</v>
      </c>
      <c r="AR80">
        <v>0.47229920945109483</v>
      </c>
      <c r="AS80">
        <v>0.33126945834932869</v>
      </c>
      <c r="AT80">
        <v>3.2705816811229527E-2</v>
      </c>
      <c r="AU80">
        <v>7.8637818373607282E-2</v>
      </c>
      <c r="AV80">
        <v>5.5156364815163228E-2</v>
      </c>
      <c r="AW80">
        <v>0.14953900000000001</v>
      </c>
      <c r="AX80">
        <v>9.1443068423066893E-3</v>
      </c>
      <c r="AY80">
        <v>0.18133730999939809</v>
      </c>
      <c r="AZ80">
        <v>0.57476376660937079</v>
      </c>
      <c r="BA80">
        <v>0.24389892339123101</v>
      </c>
      <c r="BB80">
        <v>3.019266211489979E-2</v>
      </c>
      <c r="BC80">
        <v>9.5698167140460241E-2</v>
      </c>
      <c r="BD80">
        <v>4.0609170744639968E-2</v>
      </c>
    </row>
    <row r="81" spans="1:56" x14ac:dyDescent="0.25">
      <c r="A81" t="s">
        <v>262</v>
      </c>
      <c r="B81" t="s">
        <v>261</v>
      </c>
      <c r="C81" t="s">
        <v>161</v>
      </c>
      <c r="D81">
        <v>7</v>
      </c>
      <c r="E81">
        <v>2024</v>
      </c>
      <c r="F81">
        <v>2</v>
      </c>
      <c r="G81">
        <v>10</v>
      </c>
      <c r="H81">
        <v>41</v>
      </c>
      <c r="I81" t="s">
        <v>263</v>
      </c>
      <c r="J81">
        <v>-50.8513649</v>
      </c>
      <c r="K81">
        <v>-64.444203583333305</v>
      </c>
      <c r="L81" t="s">
        <v>26</v>
      </c>
      <c r="M81" t="s">
        <v>138</v>
      </c>
      <c r="N81" t="s">
        <v>138</v>
      </c>
      <c r="O81" t="s">
        <v>138</v>
      </c>
      <c r="P81" t="s">
        <v>138</v>
      </c>
      <c r="Q81">
        <v>5.8999999999999999E-3</v>
      </c>
      <c r="R81">
        <v>0</v>
      </c>
      <c r="S81">
        <v>4.2700000000000002E-2</v>
      </c>
      <c r="T81">
        <v>5.1000000000000004E-3</v>
      </c>
      <c r="U81">
        <v>2.5999999999999999E-3</v>
      </c>
      <c r="V81">
        <v>1.6400000000000001E-2</v>
      </c>
      <c r="W81">
        <v>0</v>
      </c>
      <c r="X81" t="s">
        <v>138</v>
      </c>
      <c r="Y81" t="s">
        <v>138</v>
      </c>
      <c r="Z81">
        <v>9.9299999999999999E-2</v>
      </c>
      <c r="AA81">
        <v>8.2457000000000003E-2</v>
      </c>
      <c r="AB81">
        <v>0.10088894817905091</v>
      </c>
      <c r="AC81">
        <v>0.69823059291509526</v>
      </c>
      <c r="AD81">
        <v>0.20088045890585399</v>
      </c>
      <c r="AE81">
        <v>1.0018272554179751E-2</v>
      </c>
      <c r="AF81">
        <v>6.9334297876468956E-2</v>
      </c>
      <c r="AG81">
        <v>1.9947429569351301E-2</v>
      </c>
      <c r="AH81">
        <v>7.4887000000000009E-2</v>
      </c>
      <c r="AI81">
        <v>0.10292841214095901</v>
      </c>
      <c r="AJ81">
        <v>0.79386275321484367</v>
      </c>
      <c r="AK81">
        <v>0.10320883464419719</v>
      </c>
      <c r="AL81">
        <v>1.022079132559723E-2</v>
      </c>
      <c r="AM81">
        <v>7.8830571394233981E-2</v>
      </c>
      <c r="AN81">
        <v>1.0248637280168791E-2</v>
      </c>
      <c r="AO81">
        <v>9.9787000000000015E-2</v>
      </c>
      <c r="AP81">
        <v>8.2454439822883649E-4</v>
      </c>
      <c r="AQ81">
        <v>0.29254311683886669</v>
      </c>
      <c r="AR81">
        <v>0.61895544763263921</v>
      </c>
      <c r="AS81">
        <v>8.8501435528493919E-2</v>
      </c>
      <c r="AT81">
        <v>2.904953150209947E-2</v>
      </c>
      <c r="AU81">
        <v>6.1462275949921083E-2</v>
      </c>
      <c r="AV81">
        <v>8.7881925479794468E-3</v>
      </c>
      <c r="AW81">
        <v>8.1050000000000011E-2</v>
      </c>
      <c r="AX81">
        <v>5.8999999999999999E-3</v>
      </c>
      <c r="AY81">
        <v>0.26507094386181368</v>
      </c>
      <c r="AZ81">
        <v>0.73492905613818615</v>
      </c>
      <c r="BA81">
        <v>0</v>
      </c>
      <c r="BB81">
        <v>2.63215447254781E-2</v>
      </c>
      <c r="BC81">
        <v>7.2978455274521889E-2</v>
      </c>
      <c r="BD81">
        <v>0</v>
      </c>
    </row>
    <row r="82" spans="1:56" x14ac:dyDescent="0.25">
      <c r="A82" t="s">
        <v>264</v>
      </c>
      <c r="B82" t="s">
        <v>261</v>
      </c>
      <c r="C82" t="s">
        <v>164</v>
      </c>
      <c r="D82">
        <v>7</v>
      </c>
      <c r="E82">
        <v>2024</v>
      </c>
      <c r="F82">
        <v>2</v>
      </c>
      <c r="G82">
        <v>10</v>
      </c>
      <c r="H82">
        <v>41</v>
      </c>
      <c r="I82" t="s">
        <v>265</v>
      </c>
      <c r="J82">
        <v>-50.849319716666599</v>
      </c>
      <c r="K82">
        <v>-64.440612650000006</v>
      </c>
      <c r="L82" t="s">
        <v>26</v>
      </c>
      <c r="M82" t="s">
        <v>138</v>
      </c>
      <c r="N82" t="s">
        <v>138</v>
      </c>
      <c r="O82" t="s">
        <v>138</v>
      </c>
      <c r="P82" t="s">
        <v>138</v>
      </c>
      <c r="Q82">
        <v>2.2000000000000001E-3</v>
      </c>
      <c r="R82">
        <v>0</v>
      </c>
      <c r="S82">
        <v>3.2300000000000002E-2</v>
      </c>
      <c r="T82">
        <v>4.1000000000000003E-3</v>
      </c>
      <c r="U82">
        <v>1.5E-3</v>
      </c>
      <c r="V82">
        <v>1.35E-2</v>
      </c>
      <c r="W82">
        <v>0</v>
      </c>
      <c r="X82" t="s">
        <v>138</v>
      </c>
      <c r="Y82" t="s">
        <v>138</v>
      </c>
      <c r="Z82">
        <v>7.51E-2</v>
      </c>
      <c r="AA82">
        <v>6.0093000000000001E-2</v>
      </c>
      <c r="AB82">
        <v>5.1619989017023617E-2</v>
      </c>
      <c r="AC82">
        <v>0.72148170335979234</v>
      </c>
      <c r="AD82">
        <v>0.22689830762318411</v>
      </c>
      <c r="AE82">
        <v>3.8766611751784742E-3</v>
      </c>
      <c r="AF82">
        <v>5.4183275922320397E-2</v>
      </c>
      <c r="AG82">
        <v>1.7040062902501121E-2</v>
      </c>
      <c r="AH82">
        <v>5.0514999999999997E-2</v>
      </c>
      <c r="AI82">
        <v>0.1256062555676532</v>
      </c>
      <c r="AJ82">
        <v>0.81734138374740195</v>
      </c>
      <c r="AK82">
        <v>5.7052360684945083E-2</v>
      </c>
      <c r="AL82">
        <v>9.4330297931307528E-3</v>
      </c>
      <c r="AM82">
        <v>6.1382337919429888E-2</v>
      </c>
      <c r="AN82">
        <v>4.2846322874393753E-3</v>
      </c>
      <c r="AO82">
        <v>7.2804999999999995E-2</v>
      </c>
      <c r="AP82">
        <v>5.8705941263502534E-4</v>
      </c>
      <c r="AQ82">
        <v>0.36375503056108788</v>
      </c>
      <c r="AR82">
        <v>0.59769656449399011</v>
      </c>
      <c r="AS82">
        <v>3.8548404944922128E-2</v>
      </c>
      <c r="AT82">
        <v>2.73180027951377E-2</v>
      </c>
      <c r="AU82">
        <v>4.4887011993498663E-2</v>
      </c>
      <c r="AV82">
        <v>2.8949852113636519E-3</v>
      </c>
      <c r="AW82">
        <v>5.9253E-2</v>
      </c>
      <c r="AX82">
        <v>2.2000000000000001E-3</v>
      </c>
      <c r="AY82">
        <v>0.3325222773530454</v>
      </c>
      <c r="AZ82">
        <v>0.6674777226469546</v>
      </c>
      <c r="BA82">
        <v>0</v>
      </c>
      <c r="BB82">
        <v>2.4972423029213708E-2</v>
      </c>
      <c r="BC82">
        <v>5.0127576970786292E-2</v>
      </c>
      <c r="BD82">
        <v>0</v>
      </c>
    </row>
    <row r="83" spans="1:56" x14ac:dyDescent="0.25">
      <c r="A83" t="s">
        <v>266</v>
      </c>
      <c r="B83" t="s">
        <v>267</v>
      </c>
      <c r="C83" t="s">
        <v>161</v>
      </c>
      <c r="D83">
        <v>7</v>
      </c>
      <c r="E83">
        <v>2024</v>
      </c>
      <c r="F83">
        <v>2</v>
      </c>
      <c r="G83">
        <v>11</v>
      </c>
      <c r="H83">
        <v>42</v>
      </c>
      <c r="I83" t="s">
        <v>268</v>
      </c>
      <c r="J83">
        <v>-52.713692250000001</v>
      </c>
      <c r="K83">
        <v>-64.5533620333333</v>
      </c>
      <c r="L83" t="s">
        <v>269</v>
      </c>
      <c r="M83" t="s">
        <v>138</v>
      </c>
      <c r="N83" t="s">
        <v>138</v>
      </c>
      <c r="O83" t="s">
        <v>138</v>
      </c>
      <c r="P83" t="s">
        <v>138</v>
      </c>
      <c r="Q83">
        <v>1.5599999999999999E-2</v>
      </c>
      <c r="R83">
        <v>0</v>
      </c>
      <c r="S83">
        <v>3.7600000000000001E-2</v>
      </c>
      <c r="T83">
        <v>2.5000000000000001E-3</v>
      </c>
      <c r="U83">
        <v>5.7999999999999996E-3</v>
      </c>
      <c r="V83">
        <v>0</v>
      </c>
      <c r="W83">
        <v>0</v>
      </c>
      <c r="X83" t="s">
        <v>138</v>
      </c>
      <c r="Y83" t="s">
        <v>138</v>
      </c>
      <c r="Z83">
        <v>8.3500000000000005E-2</v>
      </c>
      <c r="AA83">
        <v>7.4103000000000002E-2</v>
      </c>
      <c r="AB83">
        <v>0.29683008785069431</v>
      </c>
      <c r="AC83">
        <v>0.70316991214930569</v>
      </c>
      <c r="AD83">
        <v>0</v>
      </c>
      <c r="AE83">
        <v>2.478531233553297E-2</v>
      </c>
      <c r="AF83">
        <v>5.8714687664467032E-2</v>
      </c>
      <c r="AG83">
        <v>0</v>
      </c>
      <c r="AH83">
        <v>8.8896000000000003E-2</v>
      </c>
      <c r="AI83">
        <v>0</v>
      </c>
      <c r="AJ83">
        <v>0.77011339092872555</v>
      </c>
      <c r="AK83">
        <v>0.22988660907127431</v>
      </c>
      <c r="AL83">
        <v>0</v>
      </c>
      <c r="AM83">
        <v>6.4304468142548588E-2</v>
      </c>
      <c r="AN83">
        <v>1.91955318574514E-2</v>
      </c>
      <c r="AO83">
        <v>8.5350999999999996E-2</v>
      </c>
      <c r="AP83">
        <v>3.4667190102270149E-4</v>
      </c>
      <c r="AQ83">
        <v>0</v>
      </c>
      <c r="AR83">
        <v>0.68903948527585501</v>
      </c>
      <c r="AS83">
        <v>0.31096051472414499</v>
      </c>
      <c r="AT83">
        <v>0</v>
      </c>
      <c r="AU83">
        <v>5.75347970205339E-2</v>
      </c>
      <c r="AV83">
        <v>2.5965202979466109E-2</v>
      </c>
      <c r="AW83">
        <v>6.9961999999999996E-2</v>
      </c>
      <c r="AX83">
        <v>3.1862993602217028E-3</v>
      </c>
      <c r="AY83">
        <v>0</v>
      </c>
      <c r="AZ83">
        <v>0.76933462691587173</v>
      </c>
      <c r="BA83">
        <v>0.23066537308412829</v>
      </c>
      <c r="BB83">
        <v>0</v>
      </c>
      <c r="BC83">
        <v>6.4239441347475293E-2</v>
      </c>
      <c r="BD83">
        <v>1.9260558652524719E-2</v>
      </c>
    </row>
    <row r="84" spans="1:56" x14ac:dyDescent="0.25">
      <c r="A84" t="s">
        <v>270</v>
      </c>
      <c r="B84" t="s">
        <v>267</v>
      </c>
      <c r="C84" t="s">
        <v>164</v>
      </c>
      <c r="D84">
        <v>7</v>
      </c>
      <c r="E84">
        <v>2024</v>
      </c>
      <c r="F84">
        <v>2</v>
      </c>
      <c r="G84">
        <v>11</v>
      </c>
      <c r="H84">
        <v>42</v>
      </c>
      <c r="I84" t="s">
        <v>271</v>
      </c>
      <c r="J84">
        <v>-52.713406900000003</v>
      </c>
      <c r="K84">
        <v>-64.552064066666603</v>
      </c>
      <c r="L84" t="s">
        <v>269</v>
      </c>
      <c r="M84" t="s">
        <v>138</v>
      </c>
      <c r="N84" t="s">
        <v>138</v>
      </c>
      <c r="O84" t="s">
        <v>138</v>
      </c>
      <c r="P84" t="s">
        <v>138</v>
      </c>
      <c r="Q84">
        <v>2.3999999999999998E-3</v>
      </c>
      <c r="R84">
        <v>2.0999999999999999E-3</v>
      </c>
      <c r="S84">
        <v>5.4300000000000001E-2</v>
      </c>
      <c r="T84">
        <v>2.3999999999999998E-3</v>
      </c>
      <c r="U84">
        <v>8.3000000000000001E-3</v>
      </c>
      <c r="V84">
        <v>0</v>
      </c>
      <c r="W84">
        <v>0</v>
      </c>
      <c r="X84" t="s">
        <v>138</v>
      </c>
      <c r="Y84" t="s">
        <v>138</v>
      </c>
      <c r="Z84">
        <v>9.2799999999999994E-2</v>
      </c>
      <c r="AA84">
        <v>8.1126000000000004E-2</v>
      </c>
      <c r="AB84">
        <v>7.8211670734413125E-2</v>
      </c>
      <c r="AC84">
        <v>0.92178832926558685</v>
      </c>
      <c r="AD84">
        <v>0</v>
      </c>
      <c r="AE84">
        <v>7.2580430441535372E-3</v>
      </c>
      <c r="AF84">
        <v>8.554195695584646E-2</v>
      </c>
      <c r="AG84">
        <v>0</v>
      </c>
      <c r="AH84">
        <v>7.8213000000000005E-2</v>
      </c>
      <c r="AI84">
        <v>0</v>
      </c>
      <c r="AJ84">
        <v>0.95094165931494756</v>
      </c>
      <c r="AK84">
        <v>4.9058340685052347E-2</v>
      </c>
      <c r="AL84">
        <v>0</v>
      </c>
      <c r="AM84">
        <v>8.8247385984427135E-2</v>
      </c>
      <c r="AN84">
        <v>4.5526140155728572E-3</v>
      </c>
      <c r="AO84">
        <v>9.0628E-2</v>
      </c>
      <c r="AP84">
        <v>3.7053820007688438E-4</v>
      </c>
      <c r="AQ84">
        <v>0</v>
      </c>
      <c r="AR84">
        <v>0.92581472026452949</v>
      </c>
      <c r="AS84">
        <v>7.4185279735470497E-2</v>
      </c>
      <c r="AT84">
        <v>0</v>
      </c>
      <c r="AU84">
        <v>8.5915606040548334E-2</v>
      </c>
      <c r="AV84">
        <v>6.8843939594516613E-3</v>
      </c>
      <c r="AW84">
        <v>7.566500000000001E-2</v>
      </c>
      <c r="AX84">
        <v>2.3999999999999998E-3</v>
      </c>
      <c r="AY84">
        <v>0</v>
      </c>
      <c r="AZ84">
        <v>0.97474393709112528</v>
      </c>
      <c r="BA84">
        <v>2.5256062908874641E-2</v>
      </c>
      <c r="BB84">
        <v>0</v>
      </c>
      <c r="BC84">
        <v>9.0456237362056421E-2</v>
      </c>
      <c r="BD84">
        <v>2.343762637943567E-3</v>
      </c>
    </row>
    <row r="85" spans="1:56" x14ac:dyDescent="0.25">
      <c r="A85" t="s">
        <v>272</v>
      </c>
      <c r="B85" t="s">
        <v>267</v>
      </c>
      <c r="C85" t="s">
        <v>111</v>
      </c>
      <c r="D85">
        <v>7</v>
      </c>
      <c r="E85">
        <v>2024</v>
      </c>
      <c r="F85">
        <v>2</v>
      </c>
      <c r="G85">
        <v>11</v>
      </c>
      <c r="H85">
        <v>42</v>
      </c>
      <c r="I85" t="s">
        <v>273</v>
      </c>
      <c r="J85">
        <v>-52.713076066666602</v>
      </c>
      <c r="K85">
        <v>-64.550410966666604</v>
      </c>
      <c r="L85" t="s">
        <v>269</v>
      </c>
      <c r="M85">
        <v>3.0383561166256392</v>
      </c>
      <c r="N85">
        <v>0.21597582789768899</v>
      </c>
      <c r="O85">
        <v>0.40952733443478162</v>
      </c>
      <c r="P85">
        <v>0.45489632161183252</v>
      </c>
      <c r="Q85">
        <v>1.0200000000000001E-2</v>
      </c>
      <c r="R85">
        <v>6.8999999999999999E-3</v>
      </c>
      <c r="S85">
        <v>0.1149</v>
      </c>
      <c r="T85">
        <v>6.0000000000000001E-3</v>
      </c>
      <c r="U85">
        <v>1.78E-2</v>
      </c>
      <c r="V85">
        <v>0</v>
      </c>
      <c r="W85">
        <v>0</v>
      </c>
      <c r="X85" t="s">
        <v>138</v>
      </c>
      <c r="Y85" t="s">
        <v>138</v>
      </c>
      <c r="Z85">
        <v>0.20219999999999999</v>
      </c>
      <c r="AA85">
        <v>0.182814</v>
      </c>
      <c r="AB85">
        <v>0.13188814861006271</v>
      </c>
      <c r="AC85">
        <v>0.86811185138993729</v>
      </c>
      <c r="AD85">
        <v>0</v>
      </c>
      <c r="AE85">
        <v>2.6667783648954679E-2</v>
      </c>
      <c r="AF85">
        <v>0.17553221635104529</v>
      </c>
      <c r="AG85">
        <v>0</v>
      </c>
      <c r="AH85">
        <v>0.18278700000000001</v>
      </c>
      <c r="AI85">
        <v>0</v>
      </c>
      <c r="AJ85">
        <v>0.91444139900539967</v>
      </c>
      <c r="AK85">
        <v>8.555860099460029E-2</v>
      </c>
      <c r="AL85">
        <v>0</v>
      </c>
      <c r="AM85">
        <v>0.1849000508788918</v>
      </c>
      <c r="AN85">
        <v>1.7299949121108181E-2</v>
      </c>
      <c r="AO85">
        <v>0.20533999999999999</v>
      </c>
      <c r="AP85">
        <v>1.3531771616456341E-3</v>
      </c>
      <c r="AQ85">
        <v>0</v>
      </c>
      <c r="AR85">
        <v>0.87395796367616341</v>
      </c>
      <c r="AS85">
        <v>0.12604203632383659</v>
      </c>
      <c r="AT85">
        <v>0</v>
      </c>
      <c r="AU85">
        <v>0.1767143002553202</v>
      </c>
      <c r="AV85">
        <v>2.5485699744679749E-2</v>
      </c>
      <c r="AW85">
        <v>0.17013700000000001</v>
      </c>
      <c r="AX85">
        <v>8.3847973084113098E-3</v>
      </c>
      <c r="AY85">
        <v>0</v>
      </c>
      <c r="AZ85">
        <v>0.94922466307114084</v>
      </c>
      <c r="BA85">
        <v>5.0775336928859077E-2</v>
      </c>
      <c r="BB85">
        <v>0</v>
      </c>
      <c r="BC85">
        <v>0.1919332268729847</v>
      </c>
      <c r="BD85">
        <v>1.026677312701531E-2</v>
      </c>
    </row>
    <row r="86" spans="1:56" x14ac:dyDescent="0.25">
      <c r="A86" t="s">
        <v>274</v>
      </c>
      <c r="B86" t="s">
        <v>275</v>
      </c>
      <c r="C86" t="s">
        <v>111</v>
      </c>
      <c r="D86">
        <v>7</v>
      </c>
      <c r="E86">
        <v>2024</v>
      </c>
      <c r="F86">
        <v>2</v>
      </c>
      <c r="G86">
        <v>12</v>
      </c>
      <c r="H86">
        <v>43</v>
      </c>
      <c r="I86" t="s">
        <v>276</v>
      </c>
      <c r="J86">
        <v>-53.693339816666601</v>
      </c>
      <c r="K86">
        <v>-64.6320135666666</v>
      </c>
      <c r="L86" t="s">
        <v>277</v>
      </c>
      <c r="M86" t="s">
        <v>138</v>
      </c>
      <c r="N86" t="s">
        <v>138</v>
      </c>
      <c r="O86" t="s">
        <v>138</v>
      </c>
      <c r="P86" t="s">
        <v>138</v>
      </c>
      <c r="Q86">
        <v>4.1500000000000002E-2</v>
      </c>
      <c r="R86">
        <v>5.0000000000000001E-3</v>
      </c>
      <c r="S86">
        <v>5.5500000000000001E-2</v>
      </c>
      <c r="T86">
        <v>4.7000000000000002E-3</v>
      </c>
      <c r="U86">
        <v>2.2499999999999999E-2</v>
      </c>
      <c r="V86">
        <v>1.4500000000000001E-2</v>
      </c>
      <c r="W86">
        <v>0</v>
      </c>
      <c r="X86" t="s">
        <v>138</v>
      </c>
      <c r="Y86" t="s">
        <v>138</v>
      </c>
      <c r="Z86">
        <v>0.2092</v>
      </c>
      <c r="AA86">
        <v>0.16583999999999999</v>
      </c>
      <c r="AB86">
        <v>0.39535094066570181</v>
      </c>
      <c r="AC86">
        <v>0.5163410516160154</v>
      </c>
      <c r="AD86">
        <v>8.8308007718282677E-2</v>
      </c>
      <c r="AE86">
        <v>8.2707416787264815E-2</v>
      </c>
      <c r="AF86">
        <v>0.1080185479980704</v>
      </c>
      <c r="AG86">
        <v>1.8474035214664741E-2</v>
      </c>
      <c r="AH86">
        <v>0.23664499999999999</v>
      </c>
      <c r="AI86">
        <v>2.8798411122144981E-2</v>
      </c>
      <c r="AJ86">
        <v>0.73449682013142037</v>
      </c>
      <c r="AK86">
        <v>0.23670476874643451</v>
      </c>
      <c r="AL86">
        <v>6.0246276067527299E-3</v>
      </c>
      <c r="AM86">
        <v>0.15365673477149311</v>
      </c>
      <c r="AN86">
        <v>4.9518637621754097E-2</v>
      </c>
      <c r="AO86">
        <v>0.21662500000000001</v>
      </c>
      <c r="AP86">
        <v>8.1351270513497858E-4</v>
      </c>
      <c r="AQ86">
        <v>0.1191459896133872</v>
      </c>
      <c r="AR86">
        <v>0.51896370274407322</v>
      </c>
      <c r="AS86">
        <v>0.3618903076425396</v>
      </c>
      <c r="AT86">
        <v>2.4925341027120601E-2</v>
      </c>
      <c r="AU86">
        <v>0.10856720661406009</v>
      </c>
      <c r="AV86">
        <v>7.5707452358819288E-2</v>
      </c>
      <c r="AW86">
        <v>0.173959</v>
      </c>
      <c r="AX86">
        <v>5.890359153384375E-3</v>
      </c>
      <c r="AY86">
        <v>0.109192395909381</v>
      </c>
      <c r="AZ86">
        <v>0.59854027040509361</v>
      </c>
      <c r="BA86">
        <v>0.29226733368552538</v>
      </c>
      <c r="BB86">
        <v>2.28430492242425E-2</v>
      </c>
      <c r="BC86">
        <v>0.1252146245687456</v>
      </c>
      <c r="BD86">
        <v>6.1142326207011918E-2</v>
      </c>
    </row>
    <row r="87" spans="1:56" x14ac:dyDescent="0.25">
      <c r="A87" t="s">
        <v>278</v>
      </c>
      <c r="B87" t="s">
        <v>275</v>
      </c>
      <c r="C87" t="s">
        <v>161</v>
      </c>
      <c r="D87">
        <v>7</v>
      </c>
      <c r="E87">
        <v>2024</v>
      </c>
      <c r="F87">
        <v>2</v>
      </c>
      <c r="G87">
        <v>12</v>
      </c>
      <c r="H87">
        <v>43</v>
      </c>
      <c r="I87" t="s">
        <v>279</v>
      </c>
      <c r="J87">
        <v>-53.6937696166666</v>
      </c>
      <c r="K87">
        <v>-64.633074633333294</v>
      </c>
      <c r="L87" t="s">
        <v>277</v>
      </c>
      <c r="M87" t="s">
        <v>138</v>
      </c>
      <c r="N87" t="s">
        <v>138</v>
      </c>
      <c r="O87" t="s">
        <v>138</v>
      </c>
      <c r="P87" t="s">
        <v>138</v>
      </c>
      <c r="Q87">
        <v>7.1000000000000004E-3</v>
      </c>
      <c r="R87">
        <v>5.8999999999999999E-3</v>
      </c>
      <c r="S87">
        <v>5.1700000000000003E-2</v>
      </c>
      <c r="T87">
        <v>4.1000000000000003E-3</v>
      </c>
      <c r="U87">
        <v>2.07E-2</v>
      </c>
      <c r="V87">
        <v>1.18E-2</v>
      </c>
      <c r="W87">
        <v>0</v>
      </c>
      <c r="X87" t="s">
        <v>138</v>
      </c>
      <c r="Y87" t="s">
        <v>138</v>
      </c>
      <c r="Z87">
        <v>0.1575</v>
      </c>
      <c r="AA87">
        <v>0.109762</v>
      </c>
      <c r="AB87">
        <v>0.1669976859022248</v>
      </c>
      <c r="AC87">
        <v>0.72442193108726161</v>
      </c>
      <c r="AD87">
        <v>0.10858038301051361</v>
      </c>
      <c r="AE87">
        <v>2.6302135529600399E-2</v>
      </c>
      <c r="AF87">
        <v>0.1140964541462437</v>
      </c>
      <c r="AG87">
        <v>1.7101410324155901E-2</v>
      </c>
      <c r="AH87">
        <v>0.13710900000000001</v>
      </c>
      <c r="AI87">
        <v>4.0449569320759403E-2</v>
      </c>
      <c r="AJ87">
        <v>0.87751351114806486</v>
      </c>
      <c r="AK87">
        <v>8.203691953117595E-2</v>
      </c>
      <c r="AL87">
        <v>6.3708071680196052E-3</v>
      </c>
      <c r="AM87">
        <v>0.1382083780058202</v>
      </c>
      <c r="AN87">
        <v>1.2920814826160211E-2</v>
      </c>
      <c r="AO87">
        <v>0.145121</v>
      </c>
      <c r="AP87">
        <v>6.7922137111750156E-4</v>
      </c>
      <c r="AQ87">
        <v>0.14473439405737279</v>
      </c>
      <c r="AR87">
        <v>0.71648379756027347</v>
      </c>
      <c r="AS87">
        <v>0.13878180838235371</v>
      </c>
      <c r="AT87">
        <v>2.2795667064036219E-2</v>
      </c>
      <c r="AU87">
        <v>0.1128461981157431</v>
      </c>
      <c r="AV87">
        <v>2.1858134820220709E-2</v>
      </c>
      <c r="AW87">
        <v>0.119273</v>
      </c>
      <c r="AX87">
        <v>5.170879137527006E-3</v>
      </c>
      <c r="AY87">
        <v>0.12960183780067569</v>
      </c>
      <c r="AZ87">
        <v>0.80435759039166532</v>
      </c>
      <c r="BA87">
        <v>6.6040571807658835E-2</v>
      </c>
      <c r="BB87">
        <v>2.041228945360643E-2</v>
      </c>
      <c r="BC87">
        <v>0.12668632048668729</v>
      </c>
      <c r="BD87">
        <v>1.0401390059706269E-2</v>
      </c>
    </row>
    <row r="88" spans="1:56" x14ac:dyDescent="0.25">
      <c r="A88" t="s">
        <v>280</v>
      </c>
      <c r="B88" t="s">
        <v>275</v>
      </c>
      <c r="C88" t="s">
        <v>164</v>
      </c>
      <c r="D88">
        <v>7</v>
      </c>
      <c r="E88">
        <v>2024</v>
      </c>
      <c r="F88">
        <v>2</v>
      </c>
      <c r="G88">
        <v>12</v>
      </c>
      <c r="H88">
        <v>43</v>
      </c>
      <c r="I88" t="s">
        <v>281</v>
      </c>
      <c r="J88">
        <v>-53.697271416666602</v>
      </c>
      <c r="K88">
        <v>-64.635321099999999</v>
      </c>
      <c r="L88" t="s">
        <v>277</v>
      </c>
      <c r="M88" t="s">
        <v>138</v>
      </c>
      <c r="N88" t="s">
        <v>138</v>
      </c>
      <c r="O88" t="s">
        <v>138</v>
      </c>
      <c r="P88" t="s">
        <v>138</v>
      </c>
      <c r="Q88">
        <v>5.4999999999999997E-3</v>
      </c>
      <c r="R88">
        <v>1.0500000000000001E-2</v>
      </c>
      <c r="S88">
        <v>5.21E-2</v>
      </c>
      <c r="T88">
        <v>4.1999999999999997E-3</v>
      </c>
      <c r="U88">
        <v>1.84E-2</v>
      </c>
      <c r="V88">
        <v>9.2999999999999992E-3</v>
      </c>
      <c r="W88">
        <v>0</v>
      </c>
      <c r="X88" t="s">
        <v>138</v>
      </c>
      <c r="Y88" t="s">
        <v>138</v>
      </c>
      <c r="Z88">
        <v>0.14249999999999999</v>
      </c>
      <c r="AA88">
        <v>0.11063000000000001</v>
      </c>
      <c r="AB88">
        <v>0.2039229865316822</v>
      </c>
      <c r="AC88">
        <v>0.71117237638976771</v>
      </c>
      <c r="AD88">
        <v>8.4904637078550116E-2</v>
      </c>
      <c r="AE88">
        <v>2.9059025580764709E-2</v>
      </c>
      <c r="AF88">
        <v>0.10134206363554191</v>
      </c>
      <c r="AG88">
        <v>1.2098910783693391E-2</v>
      </c>
      <c r="AH88">
        <v>0.130915</v>
      </c>
      <c r="AI88">
        <v>3.3388076232670053E-2</v>
      </c>
      <c r="AJ88">
        <v>0.88510865828972984</v>
      </c>
      <c r="AK88">
        <v>8.1503265477599965E-2</v>
      </c>
      <c r="AL88">
        <v>4.7578008631554824E-3</v>
      </c>
      <c r="AM88">
        <v>0.12612798380628651</v>
      </c>
      <c r="AN88">
        <v>1.161421533055799E-2</v>
      </c>
      <c r="AO88">
        <v>0.14138200000000001</v>
      </c>
      <c r="AP88">
        <v>7.0014641769851641E-4</v>
      </c>
      <c r="AQ88">
        <v>0.11708704078312659</v>
      </c>
      <c r="AR88">
        <v>0.71095510578995491</v>
      </c>
      <c r="AS88">
        <v>0.17195785342691841</v>
      </c>
      <c r="AT88">
        <v>1.6684903311595532E-2</v>
      </c>
      <c r="AU88">
        <v>0.1013111025750686</v>
      </c>
      <c r="AV88">
        <v>2.450399411333588E-2</v>
      </c>
      <c r="AW88">
        <v>0.114914</v>
      </c>
      <c r="AX88">
        <v>5.2860277839052779E-3</v>
      </c>
      <c r="AY88">
        <v>0.1060184137702978</v>
      </c>
      <c r="AZ88">
        <v>0.80841182205020157</v>
      </c>
      <c r="BA88">
        <v>8.5569764179500643E-2</v>
      </c>
      <c r="BB88">
        <v>1.510762396226743E-2</v>
      </c>
      <c r="BC88">
        <v>0.1151986846421537</v>
      </c>
      <c r="BD88">
        <v>1.219369139557884E-2</v>
      </c>
    </row>
    <row r="89" spans="1:56" x14ac:dyDescent="0.25">
      <c r="A89" t="s">
        <v>282</v>
      </c>
      <c r="B89" t="s">
        <v>283</v>
      </c>
      <c r="C89" t="s">
        <v>111</v>
      </c>
      <c r="D89">
        <v>7</v>
      </c>
      <c r="E89">
        <v>2024</v>
      </c>
      <c r="F89">
        <v>2</v>
      </c>
      <c r="G89">
        <v>13</v>
      </c>
      <c r="H89">
        <v>44</v>
      </c>
      <c r="I89" t="s">
        <v>284</v>
      </c>
      <c r="J89">
        <v>-53.915013000000002</v>
      </c>
      <c r="K89">
        <v>-64.582406283333299</v>
      </c>
      <c r="L89" t="s">
        <v>224</v>
      </c>
      <c r="M89">
        <v>3.6444419155852579</v>
      </c>
      <c r="N89">
        <v>0.16671253176850831</v>
      </c>
      <c r="O89">
        <v>0.27460079055621661</v>
      </c>
      <c r="P89">
        <v>0.28427924721098807</v>
      </c>
      <c r="Q89">
        <v>7.4899999999999994E-2</v>
      </c>
      <c r="R89">
        <v>6.8999999999999999E-3</v>
      </c>
      <c r="S89">
        <v>5.3999999999999999E-2</v>
      </c>
      <c r="T89">
        <v>5.7000000000000002E-3</v>
      </c>
      <c r="U89">
        <v>1.37E-2</v>
      </c>
      <c r="V89">
        <v>1.8200000000000001E-2</v>
      </c>
      <c r="W89">
        <v>0</v>
      </c>
      <c r="X89" t="s">
        <v>138</v>
      </c>
      <c r="Y89" t="s">
        <v>138</v>
      </c>
      <c r="Z89">
        <v>0.21879999999999999</v>
      </c>
      <c r="AA89">
        <v>0.21251500000000001</v>
      </c>
      <c r="AB89">
        <v>0.54272874855892517</v>
      </c>
      <c r="AC89">
        <v>0.37077382772980738</v>
      </c>
      <c r="AD89">
        <v>8.6497423711267465E-2</v>
      </c>
      <c r="AE89">
        <v>0.1187490501846928</v>
      </c>
      <c r="AF89">
        <v>8.112531350728186E-2</v>
      </c>
      <c r="AG89">
        <v>1.892563630802532E-2</v>
      </c>
      <c r="AH89">
        <v>0.30560199999999998</v>
      </c>
      <c r="AI89">
        <v>2.7990654511423348E-2</v>
      </c>
      <c r="AJ89">
        <v>0.64349055307229663</v>
      </c>
      <c r="AK89">
        <v>0.32851879241628001</v>
      </c>
      <c r="AL89">
        <v>6.1243552070994276E-3</v>
      </c>
      <c r="AM89">
        <v>0.14079573301221851</v>
      </c>
      <c r="AN89">
        <v>7.1879911780682051E-2</v>
      </c>
      <c r="AO89">
        <v>0.26741700000000002</v>
      </c>
      <c r="AP89">
        <v>1.0089203877505989E-3</v>
      </c>
      <c r="AQ89">
        <v>0.1211441307022366</v>
      </c>
      <c r="AR89">
        <v>0.35884974206832793</v>
      </c>
      <c r="AS89">
        <v>0.5200061272294354</v>
      </c>
      <c r="AT89">
        <v>2.6506335797649359E-2</v>
      </c>
      <c r="AU89">
        <v>7.8516323564550142E-2</v>
      </c>
      <c r="AV89">
        <v>0.1137773406378005</v>
      </c>
      <c r="AW89">
        <v>0.20916499999999999</v>
      </c>
      <c r="AX89">
        <v>6.9019590664463068E-3</v>
      </c>
      <c r="AY89">
        <v>0.113986565630005</v>
      </c>
      <c r="AZ89">
        <v>0.43337339796992902</v>
      </c>
      <c r="BA89">
        <v>0.452640036400066</v>
      </c>
      <c r="BB89">
        <v>2.49402605598451E-2</v>
      </c>
      <c r="BC89">
        <v>9.4822099475820459E-2</v>
      </c>
      <c r="BD89">
        <v>9.9037639964334442E-2</v>
      </c>
    </row>
    <row r="90" spans="1:56" x14ac:dyDescent="0.25">
      <c r="A90" t="s">
        <v>285</v>
      </c>
      <c r="B90" t="s">
        <v>283</v>
      </c>
      <c r="C90" t="s">
        <v>161</v>
      </c>
      <c r="D90">
        <v>7</v>
      </c>
      <c r="E90">
        <v>2024</v>
      </c>
      <c r="F90">
        <v>2</v>
      </c>
      <c r="G90">
        <v>13</v>
      </c>
      <c r="H90">
        <v>44</v>
      </c>
      <c r="I90" t="s">
        <v>286</v>
      </c>
      <c r="J90">
        <v>-53.916483233333302</v>
      </c>
      <c r="K90">
        <v>-64.583644466666598</v>
      </c>
      <c r="L90" t="s">
        <v>224</v>
      </c>
      <c r="M90" t="s">
        <v>138</v>
      </c>
      <c r="N90" t="s">
        <v>138</v>
      </c>
      <c r="O90" t="s">
        <v>138</v>
      </c>
      <c r="P90" t="s">
        <v>138</v>
      </c>
      <c r="Q90">
        <v>1.29E-2</v>
      </c>
      <c r="R90">
        <v>6.7000000000000002E-3</v>
      </c>
      <c r="S90">
        <v>4.8500000000000001E-2</v>
      </c>
      <c r="T90">
        <v>0</v>
      </c>
      <c r="U90">
        <v>1.4200000000000001E-2</v>
      </c>
      <c r="V90">
        <v>1.8599999999999998E-2</v>
      </c>
      <c r="W90">
        <v>0</v>
      </c>
      <c r="X90" t="s">
        <v>138</v>
      </c>
      <c r="Y90" t="s">
        <v>138</v>
      </c>
      <c r="Z90">
        <v>0.14249999999999999</v>
      </c>
      <c r="AA90">
        <v>0.116537</v>
      </c>
      <c r="AB90">
        <v>0.2371435681371582</v>
      </c>
      <c r="AC90">
        <v>0.60165441018732257</v>
      </c>
      <c r="AD90">
        <v>0.16120202167551931</v>
      </c>
      <c r="AE90">
        <v>3.3792958459545039E-2</v>
      </c>
      <c r="AF90">
        <v>8.5735753451693458E-2</v>
      </c>
      <c r="AG90">
        <v>2.2971288088761501E-2</v>
      </c>
      <c r="AH90">
        <v>0.13980899999999999</v>
      </c>
      <c r="AI90">
        <v>6.2528163422955599E-2</v>
      </c>
      <c r="AJ90">
        <v>0.80078535716584776</v>
      </c>
      <c r="AK90">
        <v>0.13668647941119669</v>
      </c>
      <c r="AL90">
        <v>8.9102632877711713E-3</v>
      </c>
      <c r="AM90">
        <v>0.1141119133961333</v>
      </c>
      <c r="AN90">
        <v>1.947782331609553E-2</v>
      </c>
      <c r="AO90">
        <v>0.15087</v>
      </c>
      <c r="AP90">
        <v>1.29E-2</v>
      </c>
      <c r="AQ90">
        <v>0.2194472062040167</v>
      </c>
      <c r="AR90">
        <v>5.0779074277468261</v>
      </c>
      <c r="AS90">
        <v>-4.2973546339508424</v>
      </c>
      <c r="AT90">
        <v>3.1271226884072377E-2</v>
      </c>
      <c r="AU90">
        <v>0.72360180845392263</v>
      </c>
      <c r="AV90">
        <v>-0.61237303533799503</v>
      </c>
      <c r="AW90">
        <v>0.119423</v>
      </c>
      <c r="AX90">
        <v>1.29E-2</v>
      </c>
      <c r="AY90">
        <v>0.20403104929536189</v>
      </c>
      <c r="AZ90">
        <v>0.74491513360073025</v>
      </c>
      <c r="BA90">
        <v>5.1053817103907939E-2</v>
      </c>
      <c r="BB90">
        <v>2.9074424524589061E-2</v>
      </c>
      <c r="BC90">
        <v>0.10615040653810411</v>
      </c>
      <c r="BD90">
        <v>7.2751689373068808E-3</v>
      </c>
    </row>
    <row r="91" spans="1:56" x14ac:dyDescent="0.25">
      <c r="A91" t="s">
        <v>287</v>
      </c>
      <c r="B91" t="s">
        <v>283</v>
      </c>
      <c r="C91" t="s">
        <v>164</v>
      </c>
      <c r="D91">
        <v>7</v>
      </c>
      <c r="E91">
        <v>2024</v>
      </c>
      <c r="F91">
        <v>2</v>
      </c>
      <c r="G91">
        <v>13</v>
      </c>
      <c r="H91">
        <v>44</v>
      </c>
      <c r="I91" t="s">
        <v>288</v>
      </c>
      <c r="J91">
        <v>-53.923560916666602</v>
      </c>
      <c r="K91">
        <v>-64.591774516666604</v>
      </c>
      <c r="L91" t="s">
        <v>224</v>
      </c>
      <c r="M91" t="s">
        <v>138</v>
      </c>
      <c r="N91" t="s">
        <v>138</v>
      </c>
      <c r="O91" t="s">
        <v>138</v>
      </c>
      <c r="P91" t="s">
        <v>138</v>
      </c>
      <c r="Q91">
        <v>8.2000000000000007E-3</v>
      </c>
      <c r="R91">
        <v>4.1000000000000003E-3</v>
      </c>
      <c r="S91">
        <v>4.58E-2</v>
      </c>
      <c r="T91">
        <v>4.4999999999999997E-3</v>
      </c>
      <c r="U91">
        <v>1.1299999999999999E-2</v>
      </c>
      <c r="V91">
        <v>1.4200000000000001E-2</v>
      </c>
      <c r="W91">
        <v>0</v>
      </c>
      <c r="X91" t="s">
        <v>138</v>
      </c>
      <c r="Y91" t="s">
        <v>138</v>
      </c>
      <c r="Z91">
        <v>0.12089999999999999</v>
      </c>
      <c r="AA91">
        <v>9.8205999999999988E-2</v>
      </c>
      <c r="AB91">
        <v>0.17659817119116961</v>
      </c>
      <c r="AC91">
        <v>0.67736187198338194</v>
      </c>
      <c r="AD91">
        <v>0.1460399568254486</v>
      </c>
      <c r="AE91">
        <v>2.13507188970124E-2</v>
      </c>
      <c r="AF91">
        <v>8.1893050322790872E-2</v>
      </c>
      <c r="AG91">
        <v>1.7656230780196729E-2</v>
      </c>
      <c r="AH91">
        <v>0.10992200000000001</v>
      </c>
      <c r="AI91">
        <v>6.0715780280562577E-2</v>
      </c>
      <c r="AJ91">
        <v>0.82925165117083022</v>
      </c>
      <c r="AK91">
        <v>0.1100325685486072</v>
      </c>
      <c r="AL91">
        <v>7.3405378359200158E-3</v>
      </c>
      <c r="AM91">
        <v>0.10025652462655341</v>
      </c>
      <c r="AN91">
        <v>1.3302937537526611E-2</v>
      </c>
      <c r="AO91">
        <v>0.124931</v>
      </c>
      <c r="AP91">
        <v>7.2877726210263008E-4</v>
      </c>
      <c r="AQ91">
        <v>0.2023196804636159</v>
      </c>
      <c r="AR91">
        <v>0.64373992392647594</v>
      </c>
      <c r="AS91">
        <v>0.15394039560990799</v>
      </c>
      <c r="AT91">
        <v>2.4460449368051161E-2</v>
      </c>
      <c r="AU91">
        <v>7.7828156802710935E-2</v>
      </c>
      <c r="AV91">
        <v>1.861139382923788E-2</v>
      </c>
      <c r="AW91">
        <v>0.101479</v>
      </c>
      <c r="AX91">
        <v>5.4626544877645431E-3</v>
      </c>
      <c r="AY91">
        <v>0.18330886193202531</v>
      </c>
      <c r="AZ91">
        <v>0.74485805766802871</v>
      </c>
      <c r="BA91">
        <v>7.1833080399945737E-2</v>
      </c>
      <c r="BB91">
        <v>2.2162041407581861E-2</v>
      </c>
      <c r="BC91">
        <v>9.0053339172064664E-2</v>
      </c>
      <c r="BD91">
        <v>8.6846194203534389E-3</v>
      </c>
    </row>
    <row r="92" spans="1:56" x14ac:dyDescent="0.25">
      <c r="A92" t="s">
        <v>289</v>
      </c>
      <c r="B92" t="s">
        <v>290</v>
      </c>
      <c r="C92" t="s">
        <v>161</v>
      </c>
      <c r="D92">
        <v>7</v>
      </c>
      <c r="E92">
        <v>2024</v>
      </c>
      <c r="F92">
        <v>2</v>
      </c>
      <c r="G92">
        <v>14</v>
      </c>
      <c r="H92">
        <v>45</v>
      </c>
      <c r="I92" t="s">
        <v>291</v>
      </c>
      <c r="J92">
        <v>-54.302605700000001</v>
      </c>
      <c r="K92">
        <v>-64.563145500000005</v>
      </c>
      <c r="L92" t="s">
        <v>36</v>
      </c>
      <c r="M92" t="s">
        <v>138</v>
      </c>
      <c r="N92" t="s">
        <v>138</v>
      </c>
      <c r="O92" t="s">
        <v>138</v>
      </c>
      <c r="P92" t="s">
        <v>138</v>
      </c>
      <c r="Q92">
        <v>0.20680000000000001</v>
      </c>
      <c r="R92">
        <v>6.4000000000000003E-3</v>
      </c>
      <c r="S92">
        <v>8.6599999999999996E-2</v>
      </c>
      <c r="T92">
        <v>1.6400000000000001E-2</v>
      </c>
      <c r="U92">
        <v>7.1599999999999997E-2</v>
      </c>
      <c r="V92">
        <v>4.7800000000000002E-2</v>
      </c>
      <c r="W92">
        <v>0</v>
      </c>
      <c r="X92" t="s">
        <v>138</v>
      </c>
      <c r="Y92" t="s">
        <v>138</v>
      </c>
      <c r="Z92">
        <v>0.74009999999999998</v>
      </c>
      <c r="AA92">
        <v>0.50757200000000002</v>
      </c>
      <c r="AB92">
        <v>0.5922548919168118</v>
      </c>
      <c r="AC92">
        <v>0.3126295382724027</v>
      </c>
      <c r="AD92">
        <v>9.5115569810785464E-2</v>
      </c>
      <c r="AE92">
        <v>0.43832784550763237</v>
      </c>
      <c r="AF92">
        <v>0.23137712127540519</v>
      </c>
      <c r="AG92">
        <v>7.0395033216962319E-2</v>
      </c>
      <c r="AH92">
        <v>0.85956200000000005</v>
      </c>
      <c r="AI92">
        <v>2.6136567228425639E-2</v>
      </c>
      <c r="AJ92">
        <v>0.6562365483816176</v>
      </c>
      <c r="AK92">
        <v>0.31762688438995679</v>
      </c>
      <c r="AL92">
        <v>1.9343673405757811E-2</v>
      </c>
      <c r="AM92">
        <v>0.48568066945723509</v>
      </c>
      <c r="AN92">
        <v>0.23507565713700701</v>
      </c>
      <c r="AO92">
        <v>0.69706400000000013</v>
      </c>
      <c r="AP92">
        <v>3.9796915253836477E-3</v>
      </c>
      <c r="AQ92">
        <v>0.1220605281581031</v>
      </c>
      <c r="AR92">
        <v>0.35770698709755128</v>
      </c>
      <c r="AS92">
        <v>0.52023248474434547</v>
      </c>
      <c r="AT92">
        <v>9.0336996889812116E-2</v>
      </c>
      <c r="AU92">
        <v>0.26473894115089769</v>
      </c>
      <c r="AV92">
        <v>0.38502406195929012</v>
      </c>
      <c r="AW92">
        <v>0.55362200000000006</v>
      </c>
      <c r="AX92">
        <v>1.862605363682435E-2</v>
      </c>
      <c r="AY92">
        <v>0.11310605431142549</v>
      </c>
      <c r="AZ92">
        <v>0.43450923143927012</v>
      </c>
      <c r="BA92">
        <v>0.45238471424930432</v>
      </c>
      <c r="BB92">
        <v>8.3709790795886002E-2</v>
      </c>
      <c r="BC92">
        <v>0.32158028218820378</v>
      </c>
      <c r="BD92">
        <v>0.33480992701591011</v>
      </c>
    </row>
    <row r="93" spans="1:56" x14ac:dyDescent="0.25">
      <c r="A93" t="s">
        <v>292</v>
      </c>
      <c r="B93" t="s">
        <v>290</v>
      </c>
      <c r="C93" t="s">
        <v>164</v>
      </c>
      <c r="D93">
        <v>7</v>
      </c>
      <c r="E93">
        <v>2024</v>
      </c>
      <c r="F93">
        <v>2</v>
      </c>
      <c r="G93">
        <v>14</v>
      </c>
      <c r="H93">
        <v>45</v>
      </c>
      <c r="I93" t="s">
        <v>293</v>
      </c>
      <c r="J93">
        <v>-54.307388600000003</v>
      </c>
      <c r="K93">
        <v>-64.563434899999905</v>
      </c>
      <c r="L93" t="s">
        <v>36</v>
      </c>
      <c r="M93" t="s">
        <v>138</v>
      </c>
      <c r="N93" t="s">
        <v>138</v>
      </c>
      <c r="O93" t="s">
        <v>138</v>
      </c>
      <c r="P93" t="s">
        <v>138</v>
      </c>
      <c r="Q93">
        <v>0.15459999999999999</v>
      </c>
      <c r="R93">
        <v>5.5999999999999999E-3</v>
      </c>
      <c r="S93">
        <v>6.6600000000000006E-2</v>
      </c>
      <c r="T93">
        <v>1.2E-2</v>
      </c>
      <c r="U93">
        <v>5.9400000000000001E-2</v>
      </c>
      <c r="V93">
        <v>3.0499999999999999E-2</v>
      </c>
      <c r="W93">
        <v>0</v>
      </c>
      <c r="X93" t="s">
        <v>138</v>
      </c>
      <c r="Y93" t="s">
        <v>138</v>
      </c>
      <c r="Z93">
        <v>0.55400000000000005</v>
      </c>
      <c r="AA93">
        <v>0.38110899999999992</v>
      </c>
      <c r="AB93">
        <v>0.59269657761952621</v>
      </c>
      <c r="AC93">
        <v>0.3264735285705665</v>
      </c>
      <c r="AD93">
        <v>8.0829893809907419E-2</v>
      </c>
      <c r="AE93">
        <v>0.32835390400121761</v>
      </c>
      <c r="AF93">
        <v>0.18086633482809389</v>
      </c>
      <c r="AG93">
        <v>4.4779761170688707E-2</v>
      </c>
      <c r="AH93">
        <v>0.65587200000000001</v>
      </c>
      <c r="AI93">
        <v>2.1856398809523812E-2</v>
      </c>
      <c r="AJ93">
        <v>0.66653706820843084</v>
      </c>
      <c r="AK93">
        <v>0.31160653298204521</v>
      </c>
      <c r="AL93">
        <v>1.2108444940476189E-2</v>
      </c>
      <c r="AM93">
        <v>0.36926153578747067</v>
      </c>
      <c r="AN93">
        <v>0.1726300192720531</v>
      </c>
      <c r="AO93">
        <v>0.52553399999999995</v>
      </c>
      <c r="AP93">
        <v>2.5534494017913139E-3</v>
      </c>
      <c r="AQ93">
        <v>0.1033044484276945</v>
      </c>
      <c r="AR93">
        <v>0.37708502581967468</v>
      </c>
      <c r="AS93">
        <v>0.51961052575263089</v>
      </c>
      <c r="AT93">
        <v>5.7230664428942757E-2</v>
      </c>
      <c r="AU93">
        <v>0.20890510430409981</v>
      </c>
      <c r="AV93">
        <v>0.28786423126695748</v>
      </c>
      <c r="AW93">
        <v>0.41884300000000002</v>
      </c>
      <c r="AX93">
        <v>1.355185995395263E-2</v>
      </c>
      <c r="AY93">
        <v>9.5393739420260082E-2</v>
      </c>
      <c r="AZ93">
        <v>0.4546558446485639</v>
      </c>
      <c r="BA93">
        <v>0.44995041593117602</v>
      </c>
      <c r="BB93">
        <v>5.284813163882409E-2</v>
      </c>
      <c r="BC93">
        <v>0.25187933793530443</v>
      </c>
      <c r="BD93">
        <v>0.2492725304258715</v>
      </c>
    </row>
    <row r="94" spans="1:56" x14ac:dyDescent="0.25">
      <c r="A94" t="s">
        <v>294</v>
      </c>
      <c r="B94" t="s">
        <v>290</v>
      </c>
      <c r="C94" t="s">
        <v>111</v>
      </c>
      <c r="D94">
        <v>7</v>
      </c>
      <c r="E94">
        <v>2024</v>
      </c>
      <c r="F94">
        <v>2</v>
      </c>
      <c r="G94">
        <v>14</v>
      </c>
      <c r="H94">
        <v>45</v>
      </c>
      <c r="I94" t="s">
        <v>295</v>
      </c>
      <c r="J94">
        <v>-54.3113471666666</v>
      </c>
      <c r="K94">
        <v>-64.564286766666598</v>
      </c>
      <c r="L94" t="s">
        <v>36</v>
      </c>
      <c r="M94">
        <v>2.187316432343299</v>
      </c>
      <c r="N94">
        <v>0.35195817030179127</v>
      </c>
      <c r="O94">
        <v>0.85333651101335173</v>
      </c>
      <c r="P94">
        <v>1.0006649037391551</v>
      </c>
      <c r="Q94">
        <v>0.36480000000000001</v>
      </c>
      <c r="R94">
        <v>5.1000000000000004E-3</v>
      </c>
      <c r="S94">
        <v>7.7799999999999994E-2</v>
      </c>
      <c r="T94">
        <v>1.4500000000000001E-2</v>
      </c>
      <c r="U94">
        <v>7.6600000000000001E-2</v>
      </c>
      <c r="V94">
        <v>3.9100000000000003E-2</v>
      </c>
      <c r="W94">
        <v>0</v>
      </c>
      <c r="X94" t="s">
        <v>138</v>
      </c>
      <c r="Y94" t="s">
        <v>138</v>
      </c>
      <c r="Z94">
        <v>0.8901</v>
      </c>
      <c r="AA94">
        <v>0.71089099999999994</v>
      </c>
      <c r="AB94">
        <v>0.73366943736803525</v>
      </c>
      <c r="AC94">
        <v>0.21077914898345879</v>
      </c>
      <c r="AD94">
        <v>5.5551413648505903E-2</v>
      </c>
      <c r="AE94">
        <v>0.65303916620128821</v>
      </c>
      <c r="AF94">
        <v>0.18761452051017671</v>
      </c>
      <c r="AG94">
        <v>4.9446313288535097E-2</v>
      </c>
      <c r="AH94">
        <v>1.269172</v>
      </c>
      <c r="AI94">
        <v>1.4479518930452301E-2</v>
      </c>
      <c r="AJ94">
        <v>0.60765916676384291</v>
      </c>
      <c r="AK94">
        <v>0.37786131430570491</v>
      </c>
      <c r="AL94">
        <v>1.288821979999559E-2</v>
      </c>
      <c r="AM94">
        <v>0.54087742433649655</v>
      </c>
      <c r="AN94">
        <v>0.33633435586350791</v>
      </c>
      <c r="AO94">
        <v>0.95136500000000002</v>
      </c>
      <c r="AP94">
        <v>3.3372639541614062E-3</v>
      </c>
      <c r="AQ94">
        <v>7.3155939098032835E-2</v>
      </c>
      <c r="AR94">
        <v>0.2575981240430758</v>
      </c>
      <c r="AS94">
        <v>0.66924593685889133</v>
      </c>
      <c r="AT94">
        <v>6.5116101391159031E-2</v>
      </c>
      <c r="AU94">
        <v>0.22928809021074181</v>
      </c>
      <c r="AV94">
        <v>0.59569580839809921</v>
      </c>
      <c r="AW94">
        <v>0.74390800000000001</v>
      </c>
      <c r="AX94">
        <v>1.6419454376997909E-2</v>
      </c>
      <c r="AY94">
        <v>6.8853944304940934E-2</v>
      </c>
      <c r="AZ94">
        <v>0.31610265071769261</v>
      </c>
      <c r="BA94">
        <v>0.61504340497736654</v>
      </c>
      <c r="BB94">
        <v>6.1286895825827928E-2</v>
      </c>
      <c r="BC94">
        <v>0.28136296940381822</v>
      </c>
      <c r="BD94">
        <v>0.54745013477035398</v>
      </c>
    </row>
    <row r="95" spans="1:56" x14ac:dyDescent="0.25">
      <c r="A95" t="s">
        <v>296</v>
      </c>
      <c r="B95" t="s">
        <v>237</v>
      </c>
      <c r="C95" t="s">
        <v>111</v>
      </c>
      <c r="D95">
        <v>7</v>
      </c>
      <c r="E95">
        <v>2024</v>
      </c>
      <c r="F95">
        <v>2</v>
      </c>
      <c r="G95">
        <v>23</v>
      </c>
      <c r="H95">
        <v>54</v>
      </c>
      <c r="I95" t="s">
        <v>297</v>
      </c>
      <c r="J95">
        <v>-53.865835199999999</v>
      </c>
      <c r="K95">
        <v>-63.597638966666601</v>
      </c>
      <c r="L95" t="s">
        <v>138</v>
      </c>
      <c r="M95" t="s">
        <v>138</v>
      </c>
      <c r="N95" t="s">
        <v>138</v>
      </c>
      <c r="O95" t="s">
        <v>138</v>
      </c>
      <c r="P95" t="s">
        <v>138</v>
      </c>
      <c r="Q95">
        <v>0.11799999999999999</v>
      </c>
      <c r="R95">
        <v>2.3999999999999998E-3</v>
      </c>
      <c r="S95">
        <v>5.6300000000000003E-2</v>
      </c>
      <c r="T95">
        <v>1.32E-2</v>
      </c>
      <c r="U95">
        <v>2.9700000000000001E-2</v>
      </c>
      <c r="V95">
        <v>1.32E-2</v>
      </c>
      <c r="W95">
        <v>0</v>
      </c>
      <c r="X95" t="s">
        <v>138</v>
      </c>
      <c r="Y95" t="s">
        <v>138</v>
      </c>
      <c r="Z95">
        <v>0.35070000000000001</v>
      </c>
      <c r="AA95">
        <v>0.27703699999999998</v>
      </c>
      <c r="AB95">
        <v>0.61278457390168095</v>
      </c>
      <c r="AC95">
        <v>0.33909189025292658</v>
      </c>
      <c r="AD95">
        <v>4.8123535845392487E-2</v>
      </c>
      <c r="AE95">
        <v>0.21490355006731951</v>
      </c>
      <c r="AF95">
        <v>0.11891952591170139</v>
      </c>
      <c r="AG95">
        <v>1.687692402097915E-2</v>
      </c>
      <c r="AH95">
        <v>0.452125</v>
      </c>
      <c r="AI95">
        <v>1.372186895217031E-2</v>
      </c>
      <c r="AJ95">
        <v>0.64262980370472755</v>
      </c>
      <c r="AK95">
        <v>0.34364832734310202</v>
      </c>
      <c r="AL95">
        <v>4.8122594415261266E-3</v>
      </c>
      <c r="AM95">
        <v>0.22537027215924799</v>
      </c>
      <c r="AN95">
        <v>0.1205174683992259</v>
      </c>
      <c r="AO95">
        <v>0.36180800000000002</v>
      </c>
      <c r="AP95">
        <v>2.707218833164902E-3</v>
      </c>
      <c r="AQ95">
        <v>6.4940520939282723E-2</v>
      </c>
      <c r="AR95">
        <v>0.37051298138710848</v>
      </c>
      <c r="AS95">
        <v>0.56454649767360887</v>
      </c>
      <c r="AT95">
        <v>2.2774640693406449E-2</v>
      </c>
      <c r="AU95">
        <v>0.12993890257245899</v>
      </c>
      <c r="AV95">
        <v>0.19798645673413459</v>
      </c>
      <c r="AW95">
        <v>0.28864600000000001</v>
      </c>
      <c r="AX95">
        <v>1.42098508828114E-2</v>
      </c>
      <c r="AY95">
        <v>5.9907291284133517E-2</v>
      </c>
      <c r="AZ95">
        <v>0.46507765965111192</v>
      </c>
      <c r="BA95">
        <v>0.47501504906475478</v>
      </c>
      <c r="BB95">
        <v>2.100948705334563E-2</v>
      </c>
      <c r="BC95">
        <v>0.163102735239645</v>
      </c>
      <c r="BD95">
        <v>0.1665877777070095</v>
      </c>
    </row>
    <row r="96" spans="1:56" x14ac:dyDescent="0.25">
      <c r="A96" t="s">
        <v>298</v>
      </c>
      <c r="B96" t="s">
        <v>237</v>
      </c>
      <c r="C96" t="s">
        <v>111</v>
      </c>
      <c r="D96">
        <v>7</v>
      </c>
      <c r="E96">
        <v>2024</v>
      </c>
      <c r="F96">
        <v>2</v>
      </c>
      <c r="G96">
        <v>24</v>
      </c>
      <c r="H96">
        <v>55</v>
      </c>
      <c r="I96" t="s">
        <v>299</v>
      </c>
      <c r="J96">
        <v>-52.1216886666666</v>
      </c>
      <c r="K96">
        <v>-62.875348099999997</v>
      </c>
      <c r="L96" t="s">
        <v>138</v>
      </c>
      <c r="M96" t="s">
        <v>138</v>
      </c>
      <c r="N96" t="s">
        <v>138</v>
      </c>
      <c r="O96" t="s">
        <v>138</v>
      </c>
      <c r="P96" t="s">
        <v>138</v>
      </c>
      <c r="Q96">
        <v>2.92E-2</v>
      </c>
      <c r="R96">
        <v>1.8E-3</v>
      </c>
      <c r="S96">
        <v>6.3200000000000006E-2</v>
      </c>
      <c r="T96">
        <v>1.6000000000000001E-3</v>
      </c>
      <c r="U96">
        <v>1.2200000000000001E-2</v>
      </c>
      <c r="V96">
        <v>0</v>
      </c>
      <c r="W96">
        <v>0</v>
      </c>
      <c r="X96" t="s">
        <v>138</v>
      </c>
      <c r="Y96" t="s">
        <v>138</v>
      </c>
      <c r="Z96">
        <v>0.1152</v>
      </c>
      <c r="AA96">
        <v>0.131854</v>
      </c>
      <c r="AB96">
        <v>0.33150302607429422</v>
      </c>
      <c r="AC96">
        <v>0.66849697392570573</v>
      </c>
      <c r="AD96">
        <v>0</v>
      </c>
      <c r="AE96">
        <v>3.8189148603758688E-2</v>
      </c>
      <c r="AF96">
        <v>7.7010851396241295E-2</v>
      </c>
      <c r="AG96">
        <v>0</v>
      </c>
      <c r="AH96">
        <v>0.166072</v>
      </c>
      <c r="AI96">
        <v>0</v>
      </c>
      <c r="AJ96">
        <v>0.76608940700419104</v>
      </c>
      <c r="AK96">
        <v>0.23391059299580899</v>
      </c>
      <c r="AL96">
        <v>0</v>
      </c>
      <c r="AM96">
        <v>8.82534996868828E-2</v>
      </c>
      <c r="AN96">
        <v>2.6946500313117201E-2</v>
      </c>
      <c r="AO96">
        <v>0.15426400000000001</v>
      </c>
      <c r="AP96">
        <v>2.4266183318656111E-4</v>
      </c>
      <c r="AQ96">
        <v>0</v>
      </c>
      <c r="AR96">
        <v>0.65564377683545516</v>
      </c>
      <c r="AS96">
        <v>0.34435622316454512</v>
      </c>
      <c r="AT96">
        <v>0</v>
      </c>
      <c r="AU96">
        <v>7.5530163091444433E-2</v>
      </c>
      <c r="AV96">
        <v>3.9669836908555599E-2</v>
      </c>
      <c r="AW96">
        <v>0.12489400000000001</v>
      </c>
      <c r="AX96">
        <v>2.419053096453315E-3</v>
      </c>
      <c r="AY96">
        <v>0</v>
      </c>
      <c r="AZ96">
        <v>0.70812664359688471</v>
      </c>
      <c r="BA96">
        <v>0.2918733564031154</v>
      </c>
      <c r="BB96">
        <v>0</v>
      </c>
      <c r="BC96">
        <v>8.1576189342361119E-2</v>
      </c>
      <c r="BD96">
        <v>3.3623810657638892E-2</v>
      </c>
    </row>
    <row r="97" spans="1:56" x14ac:dyDescent="0.25">
      <c r="A97" t="s">
        <v>300</v>
      </c>
      <c r="B97" t="s">
        <v>237</v>
      </c>
      <c r="C97" t="s">
        <v>111</v>
      </c>
      <c r="D97">
        <v>7</v>
      </c>
      <c r="E97">
        <v>2024</v>
      </c>
      <c r="F97">
        <v>2</v>
      </c>
      <c r="G97">
        <v>24</v>
      </c>
      <c r="H97">
        <v>55</v>
      </c>
      <c r="I97" t="s">
        <v>301</v>
      </c>
      <c r="J97">
        <v>-52.193891516666604</v>
      </c>
      <c r="K97">
        <v>-62.893861983333302</v>
      </c>
      <c r="L97" t="s">
        <v>138</v>
      </c>
      <c r="M97" t="s">
        <v>138</v>
      </c>
      <c r="N97" t="s">
        <v>138</v>
      </c>
      <c r="O97" t="s">
        <v>138</v>
      </c>
      <c r="P97" t="s">
        <v>138</v>
      </c>
      <c r="Q97">
        <v>2.3099999999999999E-2</v>
      </c>
      <c r="R97">
        <v>0</v>
      </c>
      <c r="S97">
        <v>5.8700000000000002E-2</v>
      </c>
      <c r="T97">
        <v>1.4E-3</v>
      </c>
      <c r="U97">
        <v>2.1499999999999998E-2</v>
      </c>
      <c r="V97">
        <v>0</v>
      </c>
      <c r="W97">
        <v>0</v>
      </c>
      <c r="X97" t="s">
        <v>138</v>
      </c>
      <c r="Y97" t="s">
        <v>138</v>
      </c>
      <c r="Z97">
        <v>0.1085</v>
      </c>
      <c r="AA97">
        <v>0.12051000000000001</v>
      </c>
      <c r="AB97">
        <v>0.27027632561613141</v>
      </c>
      <c r="AC97">
        <v>0.72972367438386865</v>
      </c>
      <c r="AD97">
        <v>0</v>
      </c>
      <c r="AE97">
        <v>2.9324981329350259E-2</v>
      </c>
      <c r="AF97">
        <v>7.9175018670649744E-2</v>
      </c>
      <c r="AG97">
        <v>0</v>
      </c>
      <c r="AH97">
        <v>0.168351</v>
      </c>
      <c r="AI97">
        <v>0</v>
      </c>
      <c r="AJ97">
        <v>0.82025054796229302</v>
      </c>
      <c r="AK97">
        <v>0.1797494520377069</v>
      </c>
      <c r="AL97">
        <v>0</v>
      </c>
      <c r="AM97">
        <v>8.8997184453908793E-2</v>
      </c>
      <c r="AN97">
        <v>1.95028155460912E-2</v>
      </c>
      <c r="AO97">
        <v>0.151592</v>
      </c>
      <c r="AP97">
        <v>2.031357363694185E-4</v>
      </c>
      <c r="AQ97">
        <v>0</v>
      </c>
      <c r="AR97">
        <v>0.73718571020425083</v>
      </c>
      <c r="AS97">
        <v>0.26281428979574922</v>
      </c>
      <c r="AT97">
        <v>0</v>
      </c>
      <c r="AU97">
        <v>7.9984649557161211E-2</v>
      </c>
      <c r="AV97">
        <v>2.8515350442838781E-2</v>
      </c>
      <c r="AW97">
        <v>0.12545200000000001</v>
      </c>
      <c r="AX97">
        <v>2.127827662527974E-3</v>
      </c>
      <c r="AY97">
        <v>0</v>
      </c>
      <c r="AZ97">
        <v>0.78267525397192839</v>
      </c>
      <c r="BA97">
        <v>0.21732474602807161</v>
      </c>
      <c r="BB97">
        <v>0</v>
      </c>
      <c r="BC97">
        <v>8.4920265055954236E-2</v>
      </c>
      <c r="BD97">
        <v>2.357973494404576E-2</v>
      </c>
    </row>
    <row r="98" spans="1:56" x14ac:dyDescent="0.25">
      <c r="A98" t="s">
        <v>302</v>
      </c>
      <c r="B98" t="s">
        <v>237</v>
      </c>
      <c r="C98" t="s">
        <v>111</v>
      </c>
      <c r="D98">
        <v>7</v>
      </c>
      <c r="E98">
        <v>2024</v>
      </c>
      <c r="F98">
        <v>2</v>
      </c>
      <c r="G98">
        <v>24</v>
      </c>
      <c r="H98">
        <v>55</v>
      </c>
      <c r="I98" t="s">
        <v>303</v>
      </c>
      <c r="J98">
        <v>-52.272016133333302</v>
      </c>
      <c r="K98">
        <v>-62.921154299999998</v>
      </c>
      <c r="L98" t="s">
        <v>138</v>
      </c>
      <c r="M98" t="s">
        <v>138</v>
      </c>
      <c r="N98" t="s">
        <v>138</v>
      </c>
      <c r="O98" t="s">
        <v>138</v>
      </c>
      <c r="P98" t="s">
        <v>138</v>
      </c>
      <c r="Q98">
        <v>1.8700000000000001E-2</v>
      </c>
      <c r="R98">
        <v>0</v>
      </c>
      <c r="S98">
        <v>5.5399999999999998E-2</v>
      </c>
      <c r="T98">
        <v>1E-3</v>
      </c>
      <c r="U98">
        <v>2.2700000000000001E-2</v>
      </c>
      <c r="V98">
        <v>0</v>
      </c>
      <c r="W98">
        <v>0</v>
      </c>
      <c r="X98" t="s">
        <v>138</v>
      </c>
      <c r="Y98" t="s">
        <v>138</v>
      </c>
      <c r="Z98">
        <v>0.1048</v>
      </c>
      <c r="AA98">
        <v>0.110695</v>
      </c>
      <c r="AB98">
        <v>0.2381950404263968</v>
      </c>
      <c r="AC98">
        <v>0.76180495957360317</v>
      </c>
      <c r="AD98">
        <v>0</v>
      </c>
      <c r="AE98">
        <v>2.4962840236686389E-2</v>
      </c>
      <c r="AF98">
        <v>7.9837159763313612E-2</v>
      </c>
      <c r="AG98">
        <v>0</v>
      </c>
      <c r="AH98">
        <v>0.15712000000000001</v>
      </c>
      <c r="AI98">
        <v>0</v>
      </c>
      <c r="AJ98">
        <v>0.84408732179226054</v>
      </c>
      <c r="AK98">
        <v>0.1559126782077393</v>
      </c>
      <c r="AL98">
        <v>0</v>
      </c>
      <c r="AM98">
        <v>8.8460351323828915E-2</v>
      </c>
      <c r="AN98">
        <v>1.6339648676171079E-2</v>
      </c>
      <c r="AO98">
        <v>0.141736</v>
      </c>
      <c r="AP98">
        <v>1.3504795963752831E-4</v>
      </c>
      <c r="AQ98">
        <v>0</v>
      </c>
      <c r="AR98">
        <v>0.77209024841796936</v>
      </c>
      <c r="AS98">
        <v>0.22790975158203081</v>
      </c>
      <c r="AT98">
        <v>0</v>
      </c>
      <c r="AU98">
        <v>8.0915058034203194E-2</v>
      </c>
      <c r="AV98">
        <v>2.3884941965796821E-2</v>
      </c>
      <c r="AW98">
        <v>0.11795799999999999</v>
      </c>
      <c r="AX98">
        <v>1.580163234696572E-3</v>
      </c>
      <c r="AY98">
        <v>0</v>
      </c>
      <c r="AZ98">
        <v>0.81132447316083312</v>
      </c>
      <c r="BA98">
        <v>0.188675526839167</v>
      </c>
      <c r="BB98">
        <v>0</v>
      </c>
      <c r="BC98">
        <v>8.5026804787255314E-2</v>
      </c>
      <c r="BD98">
        <v>1.9773195212744701E-2</v>
      </c>
    </row>
    <row r="99" spans="1:56" x14ac:dyDescent="0.25">
      <c r="A99" t="s">
        <v>304</v>
      </c>
      <c r="B99" t="s">
        <v>237</v>
      </c>
      <c r="C99" t="s">
        <v>111</v>
      </c>
      <c r="D99">
        <v>7</v>
      </c>
      <c r="E99">
        <v>2024</v>
      </c>
      <c r="F99">
        <v>2</v>
      </c>
      <c r="G99">
        <v>24</v>
      </c>
      <c r="H99">
        <v>55</v>
      </c>
      <c r="I99" t="s">
        <v>305</v>
      </c>
      <c r="J99">
        <v>-52.328522649999996</v>
      </c>
      <c r="K99">
        <v>-62.949642500000003</v>
      </c>
      <c r="L99" t="s">
        <v>138</v>
      </c>
      <c r="M99" t="s">
        <v>138</v>
      </c>
      <c r="N99" t="s">
        <v>138</v>
      </c>
      <c r="O99" t="s">
        <v>138</v>
      </c>
      <c r="P99" t="s">
        <v>138</v>
      </c>
      <c r="Q99">
        <v>1.9599999999999999E-2</v>
      </c>
      <c r="R99">
        <v>0</v>
      </c>
      <c r="S99">
        <v>5.4699999999999999E-2</v>
      </c>
      <c r="T99">
        <v>1.8E-3</v>
      </c>
      <c r="U99">
        <v>2.1399999999999999E-2</v>
      </c>
      <c r="V99">
        <v>0</v>
      </c>
      <c r="W99">
        <v>0</v>
      </c>
      <c r="X99" t="s">
        <v>138</v>
      </c>
      <c r="Y99" t="s">
        <v>138</v>
      </c>
      <c r="Z99">
        <v>9.98E-2</v>
      </c>
      <c r="AA99">
        <v>0.11057500000000001</v>
      </c>
      <c r="AB99">
        <v>0.2499299118245534</v>
      </c>
      <c r="AC99">
        <v>0.75007008817544663</v>
      </c>
      <c r="AD99">
        <v>0</v>
      </c>
      <c r="AE99">
        <v>2.4943005200090431E-2</v>
      </c>
      <c r="AF99">
        <v>7.4856994799909579E-2</v>
      </c>
      <c r="AG99">
        <v>0</v>
      </c>
      <c r="AH99">
        <v>0.15543699999999999</v>
      </c>
      <c r="AI99">
        <v>0</v>
      </c>
      <c r="AJ99">
        <v>0.83481410474983431</v>
      </c>
      <c r="AK99">
        <v>0.16518589525016569</v>
      </c>
      <c r="AL99">
        <v>0</v>
      </c>
      <c r="AM99">
        <v>8.3314447654033466E-2</v>
      </c>
      <c r="AN99">
        <v>1.648555234596653E-2</v>
      </c>
      <c r="AO99">
        <v>0.14058599999999999</v>
      </c>
      <c r="AP99">
        <v>2.6600645597493901E-4</v>
      </c>
      <c r="AQ99">
        <v>0</v>
      </c>
      <c r="AR99">
        <v>0.76070768948114609</v>
      </c>
      <c r="AS99">
        <v>0.239292310518854</v>
      </c>
      <c r="AT99">
        <v>0</v>
      </c>
      <c r="AU99">
        <v>7.5918627410218376E-2</v>
      </c>
      <c r="AV99">
        <v>2.3881372589781621E-2</v>
      </c>
      <c r="AW99">
        <v>0.11699</v>
      </c>
      <c r="AX99">
        <v>2.5976407860087191E-3</v>
      </c>
      <c r="AY99">
        <v>0</v>
      </c>
      <c r="AZ99">
        <v>0.81106874965220377</v>
      </c>
      <c r="BA99">
        <v>0.18893125034779609</v>
      </c>
      <c r="BB99">
        <v>0</v>
      </c>
      <c r="BC99">
        <v>8.094466121528994E-2</v>
      </c>
      <c r="BD99">
        <v>1.885533878471005E-2</v>
      </c>
    </row>
    <row r="100" spans="1:56" x14ac:dyDescent="0.25">
      <c r="A100" t="s">
        <v>306</v>
      </c>
      <c r="B100" t="s">
        <v>237</v>
      </c>
      <c r="C100" t="s">
        <v>111</v>
      </c>
      <c r="D100">
        <v>7</v>
      </c>
      <c r="E100">
        <v>2024</v>
      </c>
      <c r="F100">
        <v>2</v>
      </c>
      <c r="G100">
        <v>24</v>
      </c>
      <c r="H100">
        <v>55</v>
      </c>
      <c r="I100" t="s">
        <v>307</v>
      </c>
      <c r="J100">
        <v>-52.392419766666599</v>
      </c>
      <c r="K100">
        <v>-62.979322033333297</v>
      </c>
      <c r="L100" t="s">
        <v>138</v>
      </c>
      <c r="M100" t="s">
        <v>138</v>
      </c>
      <c r="N100" t="s">
        <v>138</v>
      </c>
      <c r="O100" t="s">
        <v>138</v>
      </c>
      <c r="P100" t="s">
        <v>138</v>
      </c>
      <c r="Q100">
        <v>2.12E-2</v>
      </c>
      <c r="R100">
        <v>0</v>
      </c>
      <c r="S100">
        <v>0.06</v>
      </c>
      <c r="T100">
        <v>1E-3</v>
      </c>
      <c r="U100">
        <v>2.12E-2</v>
      </c>
      <c r="V100">
        <v>0</v>
      </c>
      <c r="W100">
        <v>0</v>
      </c>
      <c r="X100" t="s">
        <v>138</v>
      </c>
      <c r="Y100" t="s">
        <v>138</v>
      </c>
      <c r="Z100">
        <v>0.1052</v>
      </c>
      <c r="AA100">
        <v>0.119162</v>
      </c>
      <c r="AB100">
        <v>0.25085178160823079</v>
      </c>
      <c r="AC100">
        <v>0.74914821839176915</v>
      </c>
      <c r="AD100">
        <v>0</v>
      </c>
      <c r="AE100">
        <v>2.6389607425185879E-2</v>
      </c>
      <c r="AF100">
        <v>7.881039257481412E-2</v>
      </c>
      <c r="AG100">
        <v>0</v>
      </c>
      <c r="AH100">
        <v>0.163712</v>
      </c>
      <c r="AI100">
        <v>0</v>
      </c>
      <c r="AJ100">
        <v>0.83036063330727117</v>
      </c>
      <c r="AK100">
        <v>0.16963936669272869</v>
      </c>
      <c r="AL100">
        <v>0</v>
      </c>
      <c r="AM100">
        <v>8.7353938623924932E-2</v>
      </c>
      <c r="AN100">
        <v>1.784606137607506E-2</v>
      </c>
      <c r="AO100">
        <v>0.14915</v>
      </c>
      <c r="AP100">
        <v>1.384289381698001E-4</v>
      </c>
      <c r="AQ100">
        <v>0</v>
      </c>
      <c r="AR100">
        <v>0.75429343850094155</v>
      </c>
      <c r="AS100">
        <v>0.24570656149905831</v>
      </c>
      <c r="AT100">
        <v>0</v>
      </c>
      <c r="AU100">
        <v>7.9351669730299057E-2</v>
      </c>
      <c r="AV100">
        <v>2.5848330269700931E-2</v>
      </c>
      <c r="AW100">
        <v>0.1235</v>
      </c>
      <c r="AX100">
        <v>1.60557371653562E-3</v>
      </c>
      <c r="AY100">
        <v>0</v>
      </c>
      <c r="AZ100">
        <v>0.79374288122669068</v>
      </c>
      <c r="BA100">
        <v>0.20625711877330929</v>
      </c>
      <c r="BB100">
        <v>0</v>
      </c>
      <c r="BC100">
        <v>8.3501751105047858E-2</v>
      </c>
      <c r="BD100">
        <v>2.169824889495214E-2</v>
      </c>
    </row>
    <row r="101" spans="1:56" x14ac:dyDescent="0.25">
      <c r="A101" t="s">
        <v>308</v>
      </c>
      <c r="B101" t="s">
        <v>237</v>
      </c>
      <c r="C101" t="s">
        <v>111</v>
      </c>
      <c r="D101">
        <v>7</v>
      </c>
      <c r="E101">
        <v>2024</v>
      </c>
      <c r="F101">
        <v>2</v>
      </c>
      <c r="G101">
        <v>24</v>
      </c>
      <c r="H101">
        <v>55</v>
      </c>
      <c r="I101" t="s">
        <v>309</v>
      </c>
      <c r="J101">
        <v>-52.448225499999999</v>
      </c>
      <c r="K101">
        <v>-63.005134283333298</v>
      </c>
      <c r="L101" t="s">
        <v>138</v>
      </c>
      <c r="M101" t="s">
        <v>138</v>
      </c>
      <c r="N101" t="s">
        <v>138</v>
      </c>
      <c r="O101" t="s">
        <v>138</v>
      </c>
      <c r="P101" t="s">
        <v>138</v>
      </c>
      <c r="Q101">
        <v>1.67E-2</v>
      </c>
      <c r="R101">
        <v>0</v>
      </c>
      <c r="S101">
        <v>5.5199999999999999E-2</v>
      </c>
      <c r="T101">
        <v>1.8E-3</v>
      </c>
      <c r="U101">
        <v>2.6200000000000001E-2</v>
      </c>
      <c r="V101">
        <v>0</v>
      </c>
      <c r="W101">
        <v>0</v>
      </c>
      <c r="X101" t="s">
        <v>138</v>
      </c>
      <c r="Y101" t="s">
        <v>138</v>
      </c>
      <c r="Z101">
        <v>0.10440000000000001</v>
      </c>
      <c r="AA101">
        <v>0.110001</v>
      </c>
      <c r="AB101">
        <v>0.21406169034826961</v>
      </c>
      <c r="AC101">
        <v>0.7859383096517305</v>
      </c>
      <c r="AD101">
        <v>0</v>
      </c>
      <c r="AE101">
        <v>2.2348040472359339E-2</v>
      </c>
      <c r="AF101">
        <v>8.2051959527640675E-2</v>
      </c>
      <c r="AG101">
        <v>0</v>
      </c>
      <c r="AH101">
        <v>0.16094600000000001</v>
      </c>
      <c r="AI101">
        <v>0</v>
      </c>
      <c r="AJ101">
        <v>0.86407242180607158</v>
      </c>
      <c r="AK101">
        <v>0.13592757819392839</v>
      </c>
      <c r="AL101">
        <v>0</v>
      </c>
      <c r="AM101">
        <v>9.0209160836553878E-2</v>
      </c>
      <c r="AN101">
        <v>1.419083916344612E-2</v>
      </c>
      <c r="AO101">
        <v>0.14460799999999999</v>
      </c>
      <c r="AP101">
        <v>2.6675785709901942E-4</v>
      </c>
      <c r="AQ101">
        <v>0</v>
      </c>
      <c r="AR101">
        <v>0.80226653208226573</v>
      </c>
      <c r="AS101">
        <v>0.19773346791773419</v>
      </c>
      <c r="AT101">
        <v>0</v>
      </c>
      <c r="AU101">
        <v>8.3756625949388541E-2</v>
      </c>
      <c r="AV101">
        <v>2.0643374050611452E-2</v>
      </c>
      <c r="AW101">
        <v>0.12141</v>
      </c>
      <c r="AX101">
        <v>2.602372403508974E-3</v>
      </c>
      <c r="AY101">
        <v>0</v>
      </c>
      <c r="AZ101">
        <v>0.8490493709295911</v>
      </c>
      <c r="BA101">
        <v>0.15095062907040879</v>
      </c>
      <c r="BB101">
        <v>0</v>
      </c>
      <c r="BC101">
        <v>8.8640754325049323E-2</v>
      </c>
      <c r="BD101">
        <v>1.575924567495068E-2</v>
      </c>
    </row>
    <row r="102" spans="1:56" x14ac:dyDescent="0.25">
      <c r="A102" t="s">
        <v>310</v>
      </c>
      <c r="B102" t="s">
        <v>237</v>
      </c>
      <c r="C102" t="s">
        <v>111</v>
      </c>
      <c r="D102">
        <v>7</v>
      </c>
      <c r="E102">
        <v>2024</v>
      </c>
      <c r="F102">
        <v>2</v>
      </c>
      <c r="G102">
        <v>24</v>
      </c>
      <c r="H102">
        <v>55</v>
      </c>
      <c r="I102" t="s">
        <v>311</v>
      </c>
      <c r="J102">
        <v>-52.506763233333302</v>
      </c>
      <c r="K102">
        <v>-63.035082916666603</v>
      </c>
      <c r="L102" t="s">
        <v>138</v>
      </c>
      <c r="M102" t="s">
        <v>138</v>
      </c>
      <c r="N102" t="s">
        <v>138</v>
      </c>
      <c r="O102" t="s">
        <v>138</v>
      </c>
      <c r="P102" t="s">
        <v>138</v>
      </c>
      <c r="Q102">
        <v>1.23E-2</v>
      </c>
      <c r="R102">
        <v>0</v>
      </c>
      <c r="S102">
        <v>5.7799999999999997E-2</v>
      </c>
      <c r="T102">
        <v>1.1999999999999999E-3</v>
      </c>
      <c r="U102">
        <v>3.8899999999999997E-2</v>
      </c>
      <c r="V102">
        <v>5.7999999999999996E-3</v>
      </c>
      <c r="W102">
        <v>0</v>
      </c>
      <c r="X102" t="s">
        <v>138</v>
      </c>
      <c r="Y102" t="s">
        <v>138</v>
      </c>
      <c r="Z102">
        <v>9.8400000000000001E-2</v>
      </c>
      <c r="AA102">
        <v>0.120367</v>
      </c>
      <c r="AB102">
        <v>0.14408434205388521</v>
      </c>
      <c r="AC102">
        <v>0.80724783370857467</v>
      </c>
      <c r="AD102">
        <v>4.8667824237540187E-2</v>
      </c>
      <c r="AE102">
        <v>1.4177899258102301E-2</v>
      </c>
      <c r="AF102">
        <v>7.9433186836923755E-2</v>
      </c>
      <c r="AG102">
        <v>4.7889139049739548E-3</v>
      </c>
      <c r="AH102">
        <v>0.19066</v>
      </c>
      <c r="AI102">
        <v>1.429770271687821E-2</v>
      </c>
      <c r="AJ102">
        <v>0.90119060106996751</v>
      </c>
      <c r="AK102">
        <v>8.4511696213154325E-2</v>
      </c>
      <c r="AL102">
        <v>1.406893947340816E-3</v>
      </c>
      <c r="AM102">
        <v>8.8677155145284806E-2</v>
      </c>
      <c r="AN102">
        <v>8.3159509073743865E-3</v>
      </c>
      <c r="AO102">
        <v>0.17252200000000001</v>
      </c>
      <c r="AP102">
        <v>1.6906272910706231E-4</v>
      </c>
      <c r="AQ102">
        <v>5.9841643384611808E-2</v>
      </c>
      <c r="AR102">
        <v>0.81780972367956706</v>
      </c>
      <c r="AS102">
        <v>0.122348632935821</v>
      </c>
      <c r="AT102">
        <v>5.8884177090458029E-3</v>
      </c>
      <c r="AU102">
        <v>8.0472476810069402E-2</v>
      </c>
      <c r="AV102">
        <v>1.203910548088479E-2</v>
      </c>
      <c r="AW102">
        <v>0.14576800000000001</v>
      </c>
      <c r="AX102">
        <v>1.860756851672848E-3</v>
      </c>
      <c r="AY102">
        <v>5.2123922946051261E-2</v>
      </c>
      <c r="AZ102">
        <v>0.85477597214186041</v>
      </c>
      <c r="BA102">
        <v>9.310010491208838E-2</v>
      </c>
      <c r="BB102">
        <v>5.128994017891444E-3</v>
      </c>
      <c r="BC102">
        <v>8.4109955658759061E-2</v>
      </c>
      <c r="BD102">
        <v>9.1610503233494969E-3</v>
      </c>
    </row>
    <row r="103" spans="1:56" x14ac:dyDescent="0.25">
      <c r="A103" t="s">
        <v>312</v>
      </c>
      <c r="B103" t="s">
        <v>237</v>
      </c>
      <c r="C103" t="s">
        <v>111</v>
      </c>
      <c r="D103">
        <v>7</v>
      </c>
      <c r="E103">
        <v>2024</v>
      </c>
      <c r="F103">
        <v>2</v>
      </c>
      <c r="G103">
        <v>24</v>
      </c>
      <c r="H103">
        <v>55</v>
      </c>
      <c r="I103" t="s">
        <v>313</v>
      </c>
      <c r="J103">
        <v>-52.561982433333299</v>
      </c>
      <c r="K103">
        <v>-63.061713966666602</v>
      </c>
      <c r="L103" t="s">
        <v>138</v>
      </c>
      <c r="M103" t="s">
        <v>138</v>
      </c>
      <c r="N103" t="s">
        <v>138</v>
      </c>
      <c r="O103" t="s">
        <v>138</v>
      </c>
      <c r="P103" t="s">
        <v>138</v>
      </c>
      <c r="Q103">
        <v>1.72E-2</v>
      </c>
      <c r="R103">
        <v>0</v>
      </c>
      <c r="S103">
        <v>6.9400000000000003E-2</v>
      </c>
      <c r="T103">
        <v>2E-3</v>
      </c>
      <c r="U103">
        <v>4.6600000000000003E-2</v>
      </c>
      <c r="V103">
        <v>0</v>
      </c>
      <c r="W103">
        <v>0</v>
      </c>
      <c r="X103" t="s">
        <v>138</v>
      </c>
      <c r="Y103" t="s">
        <v>138</v>
      </c>
      <c r="Z103">
        <v>0.1336</v>
      </c>
      <c r="AA103">
        <v>0.14105000000000001</v>
      </c>
      <c r="AB103">
        <v>0.17193902871322231</v>
      </c>
      <c r="AC103">
        <v>0.8280609712867778</v>
      </c>
      <c r="AD103">
        <v>0</v>
      </c>
      <c r="AE103">
        <v>2.2971054236086488E-2</v>
      </c>
      <c r="AF103">
        <v>0.11062894576391349</v>
      </c>
      <c r="AG103">
        <v>0</v>
      </c>
      <c r="AH103">
        <v>0.228466</v>
      </c>
      <c r="AI103">
        <v>0</v>
      </c>
      <c r="AJ103">
        <v>0.90137701014592986</v>
      </c>
      <c r="AK103">
        <v>9.8622989854070184E-2</v>
      </c>
      <c r="AL103">
        <v>0</v>
      </c>
      <c r="AM103">
        <v>0.1204239685554962</v>
      </c>
      <c r="AN103">
        <v>1.3176031444503781E-2</v>
      </c>
      <c r="AO103">
        <v>0.1991</v>
      </c>
      <c r="AP103">
        <v>3.2360575076439551E-4</v>
      </c>
      <c r="AQ103">
        <v>0</v>
      </c>
      <c r="AR103">
        <v>0.85251167255816207</v>
      </c>
      <c r="AS103">
        <v>0.14748832744183801</v>
      </c>
      <c r="AT103">
        <v>0</v>
      </c>
      <c r="AU103">
        <v>0.1138955594537704</v>
      </c>
      <c r="AV103">
        <v>1.9704440546229562E-2</v>
      </c>
      <c r="AW103">
        <v>0.169348</v>
      </c>
      <c r="AX103">
        <v>2.9795274467575212E-3</v>
      </c>
      <c r="AY103">
        <v>0</v>
      </c>
      <c r="AZ103">
        <v>0.89083653589522627</v>
      </c>
      <c r="BA103">
        <v>0.1091634641047738</v>
      </c>
      <c r="BB103">
        <v>0</v>
      </c>
      <c r="BC103">
        <v>0.1190157611956022</v>
      </c>
      <c r="BD103">
        <v>1.458423880439777E-2</v>
      </c>
    </row>
    <row r="104" spans="1:56" x14ac:dyDescent="0.25">
      <c r="A104" t="s">
        <v>314</v>
      </c>
      <c r="B104" t="s">
        <v>237</v>
      </c>
      <c r="C104" t="s">
        <v>111</v>
      </c>
      <c r="D104">
        <v>7</v>
      </c>
      <c r="E104">
        <v>2024</v>
      </c>
      <c r="F104">
        <v>2</v>
      </c>
      <c r="G104">
        <v>24</v>
      </c>
      <c r="H104">
        <v>55</v>
      </c>
      <c r="I104" t="s">
        <v>315</v>
      </c>
      <c r="J104">
        <v>-52.6163182833333</v>
      </c>
      <c r="K104">
        <v>-63.091254833333302</v>
      </c>
      <c r="L104" t="s">
        <v>138</v>
      </c>
      <c r="M104" t="s">
        <v>138</v>
      </c>
      <c r="N104" t="s">
        <v>138</v>
      </c>
      <c r="O104" t="s">
        <v>138</v>
      </c>
      <c r="P104" t="s">
        <v>138</v>
      </c>
      <c r="Q104">
        <v>1.55E-2</v>
      </c>
      <c r="R104">
        <v>0</v>
      </c>
      <c r="S104">
        <v>6.93E-2</v>
      </c>
      <c r="T104">
        <v>1.1999999999999999E-3</v>
      </c>
      <c r="U104">
        <v>4.19E-2</v>
      </c>
      <c r="V104">
        <v>0</v>
      </c>
      <c r="W104">
        <v>0</v>
      </c>
      <c r="X104" t="s">
        <v>138</v>
      </c>
      <c r="Y104" t="s">
        <v>138</v>
      </c>
      <c r="Z104">
        <v>0.13089999999999999</v>
      </c>
      <c r="AA104">
        <v>0.13542599999999999</v>
      </c>
      <c r="AB104">
        <v>0.1613796464489832</v>
      </c>
      <c r="AC104">
        <v>0.83862035355101672</v>
      </c>
      <c r="AD104">
        <v>0</v>
      </c>
      <c r="AE104">
        <v>2.112459572017189E-2</v>
      </c>
      <c r="AF104">
        <v>0.1097754042798281</v>
      </c>
      <c r="AG104">
        <v>0</v>
      </c>
      <c r="AH104">
        <v>0.21151700000000001</v>
      </c>
      <c r="AI104">
        <v>0</v>
      </c>
      <c r="AJ104">
        <v>0.90400298793950362</v>
      </c>
      <c r="AK104">
        <v>9.5997012060496309E-2</v>
      </c>
      <c r="AL104">
        <v>0</v>
      </c>
      <c r="AM104">
        <v>0.118333991121281</v>
      </c>
      <c r="AN104">
        <v>1.2566008878718969E-2</v>
      </c>
      <c r="AO104">
        <v>0.187306</v>
      </c>
      <c r="AP104">
        <v>1.7884530685107389E-4</v>
      </c>
      <c r="AQ104">
        <v>0</v>
      </c>
      <c r="AR104">
        <v>0.85767242284775103</v>
      </c>
      <c r="AS104">
        <v>0.14232757715224889</v>
      </c>
      <c r="AT104">
        <v>0</v>
      </c>
      <c r="AU104">
        <v>0.1122693201507706</v>
      </c>
      <c r="AV104">
        <v>1.8630679849229378E-2</v>
      </c>
      <c r="AW104">
        <v>0.15886</v>
      </c>
      <c r="AX104">
        <v>1.9295263157990919E-3</v>
      </c>
      <c r="AY104">
        <v>0</v>
      </c>
      <c r="AZ104">
        <v>0.88894866052208743</v>
      </c>
      <c r="BA104">
        <v>0.1110513394779125</v>
      </c>
      <c r="BB104">
        <v>0</v>
      </c>
      <c r="BC104">
        <v>0.1163633796623412</v>
      </c>
      <c r="BD104">
        <v>1.453662033765875E-2</v>
      </c>
    </row>
    <row r="105" spans="1:56" x14ac:dyDescent="0.25">
      <c r="A105" t="s">
        <v>316</v>
      </c>
      <c r="B105" t="s">
        <v>237</v>
      </c>
      <c r="C105" t="s">
        <v>111</v>
      </c>
      <c r="D105">
        <v>7</v>
      </c>
      <c r="E105">
        <v>2024</v>
      </c>
      <c r="F105">
        <v>2</v>
      </c>
      <c r="G105">
        <v>24</v>
      </c>
      <c r="H105">
        <v>55</v>
      </c>
      <c r="I105" t="s">
        <v>317</v>
      </c>
      <c r="J105">
        <v>-52.670451083333298</v>
      </c>
      <c r="K105">
        <v>-63.121349633333303</v>
      </c>
      <c r="L105" t="s">
        <v>138</v>
      </c>
      <c r="M105" t="s">
        <v>138</v>
      </c>
      <c r="N105" t="s">
        <v>138</v>
      </c>
      <c r="O105" t="s">
        <v>138</v>
      </c>
      <c r="P105" t="s">
        <v>138</v>
      </c>
      <c r="Q105">
        <v>1.4200000000000001E-2</v>
      </c>
      <c r="R105">
        <v>0</v>
      </c>
      <c r="S105">
        <v>5.1200000000000002E-2</v>
      </c>
      <c r="T105">
        <v>1.2999999999999999E-3</v>
      </c>
      <c r="U105">
        <v>2.9600000000000001E-2</v>
      </c>
      <c r="V105">
        <v>0</v>
      </c>
      <c r="W105">
        <v>0</v>
      </c>
      <c r="X105" t="s">
        <v>138</v>
      </c>
      <c r="Y105" t="s">
        <v>138</v>
      </c>
      <c r="Z105">
        <v>0.10059999999999999</v>
      </c>
      <c r="AA105">
        <v>0.10326100000000001</v>
      </c>
      <c r="AB105">
        <v>0.19389701823534539</v>
      </c>
      <c r="AC105">
        <v>0.80610298176465467</v>
      </c>
      <c r="AD105">
        <v>0</v>
      </c>
      <c r="AE105">
        <v>1.9506040034475751E-2</v>
      </c>
      <c r="AF105">
        <v>8.1093959965524251E-2</v>
      </c>
      <c r="AG105">
        <v>0</v>
      </c>
      <c r="AH105">
        <v>0.15989200000000001</v>
      </c>
      <c r="AI105">
        <v>0</v>
      </c>
      <c r="AJ105">
        <v>0.88365896980461822</v>
      </c>
      <c r="AK105">
        <v>0.1163410301953819</v>
      </c>
      <c r="AL105">
        <v>0</v>
      </c>
      <c r="AM105">
        <v>8.8896092362344595E-2</v>
      </c>
      <c r="AN105">
        <v>1.1703907637655419E-2</v>
      </c>
      <c r="AO105">
        <v>0.14100699999999999</v>
      </c>
      <c r="AP105">
        <v>1.786684939311386E-4</v>
      </c>
      <c r="AQ105">
        <v>0</v>
      </c>
      <c r="AR105">
        <v>0.82697939236662144</v>
      </c>
      <c r="AS105">
        <v>0.17302060763337859</v>
      </c>
      <c r="AT105">
        <v>0</v>
      </c>
      <c r="AU105">
        <v>8.3194126872082108E-2</v>
      </c>
      <c r="AV105">
        <v>1.740587312791789E-2</v>
      </c>
      <c r="AW105">
        <v>0.11910999999999999</v>
      </c>
      <c r="AX105">
        <v>1.944042887483017E-3</v>
      </c>
      <c r="AY105">
        <v>0</v>
      </c>
      <c r="AZ105">
        <v>0.86623504116974159</v>
      </c>
      <c r="BA105">
        <v>0.13376495883025841</v>
      </c>
      <c r="BB105">
        <v>0</v>
      </c>
      <c r="BC105">
        <v>8.7143245141675998E-2</v>
      </c>
      <c r="BD105">
        <v>1.345675485832399E-2</v>
      </c>
    </row>
    <row r="106" spans="1:56" x14ac:dyDescent="0.25">
      <c r="A106" t="s">
        <v>318</v>
      </c>
      <c r="B106" t="s">
        <v>237</v>
      </c>
      <c r="C106" t="s">
        <v>111</v>
      </c>
      <c r="D106">
        <v>7</v>
      </c>
      <c r="E106">
        <v>2024</v>
      </c>
      <c r="F106">
        <v>2</v>
      </c>
      <c r="G106">
        <v>24</v>
      </c>
      <c r="H106">
        <v>55</v>
      </c>
      <c r="I106" t="s">
        <v>319</v>
      </c>
      <c r="J106">
        <v>-52.729110749999997</v>
      </c>
      <c r="K106">
        <v>-63.1504764833333</v>
      </c>
      <c r="L106" t="s">
        <v>138</v>
      </c>
      <c r="M106" t="s">
        <v>138</v>
      </c>
      <c r="N106" t="s">
        <v>138</v>
      </c>
      <c r="O106" t="s">
        <v>138</v>
      </c>
      <c r="P106" t="s">
        <v>138</v>
      </c>
      <c r="Q106">
        <v>2.47E-2</v>
      </c>
      <c r="R106">
        <v>0</v>
      </c>
      <c r="S106">
        <v>0.1028</v>
      </c>
      <c r="T106">
        <v>3.0999999999999999E-3</v>
      </c>
      <c r="U106">
        <v>5.3900000000000003E-2</v>
      </c>
      <c r="V106">
        <v>8.3999999999999995E-3</v>
      </c>
      <c r="W106">
        <v>0</v>
      </c>
      <c r="X106" t="s">
        <v>138</v>
      </c>
      <c r="Y106" t="s">
        <v>138</v>
      </c>
      <c r="Z106">
        <v>0.18770000000000001</v>
      </c>
      <c r="AA106">
        <v>0.207292</v>
      </c>
      <c r="AB106">
        <v>0.16800937807537189</v>
      </c>
      <c r="AC106">
        <v>0.79106284854215314</v>
      </c>
      <c r="AD106">
        <v>4.0927773382474962E-2</v>
      </c>
      <c r="AE106">
        <v>3.1535360264747313E-2</v>
      </c>
      <c r="AF106">
        <v>0.14848249667136221</v>
      </c>
      <c r="AG106">
        <v>7.6821430638905506E-3</v>
      </c>
      <c r="AH106">
        <v>0.304342</v>
      </c>
      <c r="AI106">
        <v>1.297224832589652E-2</v>
      </c>
      <c r="AJ106">
        <v>0.88070985930302104</v>
      </c>
      <c r="AK106">
        <v>0.10631789237108261</v>
      </c>
      <c r="AL106">
        <v>2.4348910107707769E-3</v>
      </c>
      <c r="AM106">
        <v>0.16530924059117699</v>
      </c>
      <c r="AN106">
        <v>1.99558683980522E-2</v>
      </c>
      <c r="AO106">
        <v>0.28197100000000003</v>
      </c>
      <c r="AP106">
        <v>6.0771146587906225E-4</v>
      </c>
      <c r="AQ106">
        <v>5.3026729699153452E-2</v>
      </c>
      <c r="AR106">
        <v>0.79830343528458447</v>
      </c>
      <c r="AS106">
        <v>0.1486698350162621</v>
      </c>
      <c r="AT106">
        <v>9.9531171645311032E-3</v>
      </c>
      <c r="AU106">
        <v>0.1498415548029165</v>
      </c>
      <c r="AV106">
        <v>2.7905328032552391E-2</v>
      </c>
      <c r="AW106">
        <v>0.23675199999999999</v>
      </c>
      <c r="AX106">
        <v>4.6779552470069402E-3</v>
      </c>
      <c r="AY106">
        <v>4.6479016016760147E-2</v>
      </c>
      <c r="AZ106">
        <v>0.84358037871320646</v>
      </c>
      <c r="BA106">
        <v>0.10994060527003351</v>
      </c>
      <c r="BB106">
        <v>8.7241113063458806E-3</v>
      </c>
      <c r="BC106">
        <v>0.15834003708446889</v>
      </c>
      <c r="BD106">
        <v>2.0635851609185289E-2</v>
      </c>
    </row>
    <row r="107" spans="1:56" x14ac:dyDescent="0.25">
      <c r="A107" t="s">
        <v>320</v>
      </c>
      <c r="B107" t="s">
        <v>237</v>
      </c>
      <c r="C107" t="s">
        <v>111</v>
      </c>
      <c r="D107">
        <v>7</v>
      </c>
      <c r="E107">
        <v>2024</v>
      </c>
      <c r="F107">
        <v>2</v>
      </c>
      <c r="G107">
        <v>24</v>
      </c>
      <c r="H107">
        <v>55</v>
      </c>
      <c r="I107" t="s">
        <v>321</v>
      </c>
      <c r="J107">
        <v>-52.790183916666599</v>
      </c>
      <c r="K107">
        <v>-63.175868299999998</v>
      </c>
      <c r="L107" t="s">
        <v>138</v>
      </c>
      <c r="M107" t="s">
        <v>138</v>
      </c>
      <c r="N107" t="s">
        <v>138</v>
      </c>
      <c r="O107" t="s">
        <v>138</v>
      </c>
      <c r="P107" t="s">
        <v>138</v>
      </c>
      <c r="Q107">
        <v>3.1399999999999997E-2</v>
      </c>
      <c r="R107">
        <v>0</v>
      </c>
      <c r="S107">
        <v>0.1123</v>
      </c>
      <c r="T107">
        <v>3.3E-3</v>
      </c>
      <c r="U107">
        <v>6.8199999999999997E-2</v>
      </c>
      <c r="V107">
        <v>1.14E-2</v>
      </c>
      <c r="W107">
        <v>0</v>
      </c>
      <c r="X107" t="s">
        <v>138</v>
      </c>
      <c r="Y107" t="s">
        <v>138</v>
      </c>
      <c r="Z107">
        <v>0.20449999999999999</v>
      </c>
      <c r="AA107">
        <v>0.24048399999999989</v>
      </c>
      <c r="AB107">
        <v>0.18410372415628479</v>
      </c>
      <c r="AC107">
        <v>0.76801783070807206</v>
      </c>
      <c r="AD107">
        <v>4.7878445135643127E-2</v>
      </c>
      <c r="AE107">
        <v>3.7649211589960249E-2</v>
      </c>
      <c r="AF107">
        <v>0.15705964637980069</v>
      </c>
      <c r="AG107">
        <v>9.7911420302390188E-3</v>
      </c>
      <c r="AH107">
        <v>0.37073299999999998</v>
      </c>
      <c r="AI107">
        <v>1.445244960659019E-2</v>
      </c>
      <c r="AJ107">
        <v>0.87459438463800088</v>
      </c>
      <c r="AK107">
        <v>0.11095316575540889</v>
      </c>
      <c r="AL107">
        <v>2.9555259445476932E-3</v>
      </c>
      <c r="AM107">
        <v>0.17885455165847119</v>
      </c>
      <c r="AN107">
        <v>2.2689922396981109E-2</v>
      </c>
      <c r="AO107">
        <v>0.33602700000000002</v>
      </c>
      <c r="AP107">
        <v>6.715740318965919E-4</v>
      </c>
      <c r="AQ107">
        <v>6.038800453534985E-2</v>
      </c>
      <c r="AR107">
        <v>0.78049543285361012</v>
      </c>
      <c r="AS107">
        <v>0.15911656261104001</v>
      </c>
      <c r="AT107">
        <v>1.234934692747904E-2</v>
      </c>
      <c r="AU107">
        <v>0.15961131601856329</v>
      </c>
      <c r="AV107">
        <v>3.2539337053957673E-2</v>
      </c>
      <c r="AW107">
        <v>0.28212599999999999</v>
      </c>
      <c r="AX107">
        <v>5.0212610463101727E-3</v>
      </c>
      <c r="AY107">
        <v>5.2933795538163797E-2</v>
      </c>
      <c r="AZ107">
        <v>0.82551639820577771</v>
      </c>
      <c r="BA107">
        <v>0.1215498062560585</v>
      </c>
      <c r="BB107">
        <v>1.0824961187554501E-2</v>
      </c>
      <c r="BC107">
        <v>0.16881810343308151</v>
      </c>
      <c r="BD107">
        <v>2.4856935379363971E-2</v>
      </c>
    </row>
    <row r="108" spans="1:56" x14ac:dyDescent="0.25">
      <c r="A108" t="s">
        <v>322</v>
      </c>
      <c r="B108" t="s">
        <v>237</v>
      </c>
      <c r="C108" t="s">
        <v>111</v>
      </c>
      <c r="D108">
        <v>7</v>
      </c>
      <c r="E108">
        <v>2024</v>
      </c>
      <c r="F108">
        <v>2</v>
      </c>
      <c r="G108">
        <v>24</v>
      </c>
      <c r="H108">
        <v>55</v>
      </c>
      <c r="I108" t="s">
        <v>323</v>
      </c>
      <c r="J108">
        <v>-52.860326933333297</v>
      </c>
      <c r="K108">
        <v>-63.19827695</v>
      </c>
      <c r="L108" t="s">
        <v>138</v>
      </c>
      <c r="M108" t="s">
        <v>138</v>
      </c>
      <c r="N108" t="s">
        <v>138</v>
      </c>
      <c r="O108" t="s">
        <v>138</v>
      </c>
      <c r="P108" t="s">
        <v>138</v>
      </c>
      <c r="Q108">
        <v>2.6800000000000001E-2</v>
      </c>
      <c r="R108">
        <v>0</v>
      </c>
      <c r="S108">
        <v>9.3200000000000005E-2</v>
      </c>
      <c r="T108">
        <v>4.8999999999999998E-3</v>
      </c>
      <c r="U108">
        <v>9.2899999999999996E-2</v>
      </c>
      <c r="V108">
        <v>0</v>
      </c>
      <c r="W108">
        <v>0</v>
      </c>
      <c r="X108" t="s">
        <v>138</v>
      </c>
      <c r="Y108" t="s">
        <v>138</v>
      </c>
      <c r="Z108">
        <v>0.24149999999999999</v>
      </c>
      <c r="AA108">
        <v>0.21360699999999999</v>
      </c>
      <c r="AB108">
        <v>0.1769043149334994</v>
      </c>
      <c r="AC108">
        <v>0.82309568506650066</v>
      </c>
      <c r="AD108">
        <v>0</v>
      </c>
      <c r="AE108">
        <v>4.2722392056440101E-2</v>
      </c>
      <c r="AF108">
        <v>0.19877760794355989</v>
      </c>
      <c r="AG108">
        <v>0</v>
      </c>
      <c r="AH108">
        <v>0.39655600000000002</v>
      </c>
      <c r="AI108">
        <v>0</v>
      </c>
      <c r="AJ108">
        <v>0.91146773721744212</v>
      </c>
      <c r="AK108">
        <v>8.8532262782557825E-2</v>
      </c>
      <c r="AL108">
        <v>0</v>
      </c>
      <c r="AM108">
        <v>0.22011945853801229</v>
      </c>
      <c r="AN108">
        <v>2.1380541461987711E-2</v>
      </c>
      <c r="AO108">
        <v>0.328399</v>
      </c>
      <c r="AP108">
        <v>1.002643137482921E-3</v>
      </c>
      <c r="AQ108">
        <v>0</v>
      </c>
      <c r="AR108">
        <v>0.8633144408454968</v>
      </c>
      <c r="AS108">
        <v>0.13668555915450331</v>
      </c>
      <c r="AT108">
        <v>0</v>
      </c>
      <c r="AU108">
        <v>0.20849043746418749</v>
      </c>
      <c r="AV108">
        <v>3.3009562535812539E-2</v>
      </c>
      <c r="AW108">
        <v>0.28256199999999998</v>
      </c>
      <c r="AX108">
        <v>6.7693949096440959E-3</v>
      </c>
      <c r="AY108">
        <v>0</v>
      </c>
      <c r="AZ108">
        <v>0.90784398957587131</v>
      </c>
      <c r="BA108">
        <v>9.2156010424128798E-2</v>
      </c>
      <c r="BB108">
        <v>0</v>
      </c>
      <c r="BC108">
        <v>0.21924432348257289</v>
      </c>
      <c r="BD108">
        <v>2.22556765174271E-2</v>
      </c>
    </row>
    <row r="109" spans="1:56" x14ac:dyDescent="0.25">
      <c r="A109" t="s">
        <v>324</v>
      </c>
      <c r="B109" t="s">
        <v>237</v>
      </c>
      <c r="C109" t="s">
        <v>111</v>
      </c>
      <c r="D109">
        <v>7</v>
      </c>
      <c r="E109">
        <v>2024</v>
      </c>
      <c r="F109">
        <v>2</v>
      </c>
      <c r="G109">
        <v>24</v>
      </c>
      <c r="H109">
        <v>55</v>
      </c>
      <c r="I109" t="s">
        <v>325</v>
      </c>
      <c r="J109">
        <v>-52.938327566666601</v>
      </c>
      <c r="K109">
        <v>-63.217090933333303</v>
      </c>
      <c r="L109" t="s">
        <v>138</v>
      </c>
      <c r="M109" t="s">
        <v>138</v>
      </c>
      <c r="N109" t="s">
        <v>138</v>
      </c>
      <c r="O109" t="s">
        <v>138</v>
      </c>
      <c r="P109" t="s">
        <v>138</v>
      </c>
      <c r="Q109">
        <v>2.7400000000000001E-2</v>
      </c>
      <c r="R109">
        <v>0</v>
      </c>
      <c r="S109">
        <v>6.2100000000000002E-2</v>
      </c>
      <c r="T109">
        <v>4.1999999999999997E-3</v>
      </c>
      <c r="U109">
        <v>0.13420000000000001</v>
      </c>
      <c r="V109">
        <v>2.4799999999999999E-2</v>
      </c>
      <c r="W109">
        <v>0</v>
      </c>
      <c r="X109" t="s">
        <v>138</v>
      </c>
      <c r="Y109" t="s">
        <v>138</v>
      </c>
      <c r="Z109">
        <v>0.30180000000000001</v>
      </c>
      <c r="AA109">
        <v>0.22453899999999999</v>
      </c>
      <c r="AB109">
        <v>0.17205919684331011</v>
      </c>
      <c r="AC109">
        <v>0.71638779900150973</v>
      </c>
      <c r="AD109">
        <v>0.1115530041551802</v>
      </c>
      <c r="AE109">
        <v>5.1927465607310978E-2</v>
      </c>
      <c r="AF109">
        <v>0.21620583773865559</v>
      </c>
      <c r="AG109">
        <v>3.3666696654033372E-2</v>
      </c>
      <c r="AH109">
        <v>0.50341500000000006</v>
      </c>
      <c r="AI109">
        <v>2.3153859142059731E-2</v>
      </c>
      <c r="AJ109">
        <v>0.90554512678406485</v>
      </c>
      <c r="AK109">
        <v>7.1301014073875429E-2</v>
      </c>
      <c r="AL109">
        <v>6.9878346890736263E-3</v>
      </c>
      <c r="AM109">
        <v>0.27329351926343082</v>
      </c>
      <c r="AN109">
        <v>2.1518646047495611E-2</v>
      </c>
      <c r="AO109">
        <v>0.40732600000000002</v>
      </c>
      <c r="AP109">
        <v>7.393116893157619E-4</v>
      </c>
      <c r="AQ109">
        <v>0.1083751098628617</v>
      </c>
      <c r="AR109">
        <v>0.77773675714147739</v>
      </c>
      <c r="AS109">
        <v>0.1138881329956609</v>
      </c>
      <c r="AT109">
        <v>3.2707608156611653E-2</v>
      </c>
      <c r="AU109">
        <v>0.23472095330529791</v>
      </c>
      <c r="AV109">
        <v>3.4371438538090472E-2</v>
      </c>
      <c r="AW109">
        <v>0.34961399999999998</v>
      </c>
      <c r="AX109">
        <v>5.4749507505824661E-3</v>
      </c>
      <c r="AY109">
        <v>9.292534051840029E-2</v>
      </c>
      <c r="AZ109">
        <v>0.82554885094921027</v>
      </c>
      <c r="BA109">
        <v>8.1525808532389402E-2</v>
      </c>
      <c r="BB109">
        <v>2.8044867768453208E-2</v>
      </c>
      <c r="BC109">
        <v>0.24915064321647171</v>
      </c>
      <c r="BD109">
        <v>2.4604489015075118E-2</v>
      </c>
    </row>
    <row r="110" spans="1:56" x14ac:dyDescent="0.25">
      <c r="A110" t="s">
        <v>326</v>
      </c>
      <c r="B110" t="s">
        <v>327</v>
      </c>
      <c r="C110" t="s">
        <v>111</v>
      </c>
      <c r="D110">
        <v>7</v>
      </c>
      <c r="E110">
        <v>2024</v>
      </c>
      <c r="F110">
        <v>2</v>
      </c>
      <c r="G110">
        <v>29</v>
      </c>
      <c r="H110">
        <v>60</v>
      </c>
      <c r="I110" t="s">
        <v>328</v>
      </c>
      <c r="J110">
        <v>-56.5822179166666</v>
      </c>
      <c r="K110">
        <v>-64.682783466666606</v>
      </c>
      <c r="L110" t="s">
        <v>227</v>
      </c>
      <c r="M110">
        <v>1.8573230815915149</v>
      </c>
      <c r="N110">
        <v>0.46601207366185521</v>
      </c>
      <c r="O110">
        <v>1.2307314987025959</v>
      </c>
      <c r="P110">
        <v>1.3323376781910601</v>
      </c>
      <c r="Q110">
        <v>9.3799999999999994E-2</v>
      </c>
      <c r="R110">
        <v>0</v>
      </c>
      <c r="S110">
        <v>9.7000000000000003E-2</v>
      </c>
      <c r="T110">
        <v>1.1900000000000001E-2</v>
      </c>
      <c r="U110">
        <v>0.71209999999999996</v>
      </c>
      <c r="V110">
        <v>0</v>
      </c>
      <c r="W110">
        <v>0</v>
      </c>
      <c r="X110" t="s">
        <v>138</v>
      </c>
      <c r="Y110" t="s">
        <v>138</v>
      </c>
      <c r="Z110">
        <v>1.4292</v>
      </c>
      <c r="AA110">
        <v>0.68687299999999996</v>
      </c>
      <c r="AB110">
        <v>0.1925508791290384</v>
      </c>
      <c r="AC110">
        <v>0.80744912087096155</v>
      </c>
      <c r="AD110">
        <v>0</v>
      </c>
      <c r="AE110">
        <v>0.2751937164512217</v>
      </c>
      <c r="AF110">
        <v>1.1540062835487781</v>
      </c>
      <c r="AG110">
        <v>0</v>
      </c>
      <c r="AH110">
        <v>2.2100900000000001</v>
      </c>
      <c r="AI110">
        <v>0</v>
      </c>
      <c r="AJ110">
        <v>0.94440135922066526</v>
      </c>
      <c r="AK110">
        <v>5.5598640779334782E-2</v>
      </c>
      <c r="AL110">
        <v>0</v>
      </c>
      <c r="AM110">
        <v>1.349738422598175</v>
      </c>
      <c r="AN110">
        <v>7.9461577401825259E-2</v>
      </c>
      <c r="AO110">
        <v>1.5433330000000001</v>
      </c>
      <c r="AP110">
        <v>2.8414087455439869E-3</v>
      </c>
      <c r="AQ110">
        <v>0</v>
      </c>
      <c r="AR110">
        <v>0.89745055099401516</v>
      </c>
      <c r="AS110">
        <v>0.1025494490059847</v>
      </c>
      <c r="AT110">
        <v>0</v>
      </c>
      <c r="AU110">
        <v>1.282636327480646</v>
      </c>
      <c r="AV110">
        <v>0.1465636725193534</v>
      </c>
      <c r="AW110">
        <v>1.369998</v>
      </c>
      <c r="AX110">
        <v>1.450672118241412E-2</v>
      </c>
      <c r="AY110">
        <v>0</v>
      </c>
      <c r="AZ110">
        <v>0.92475809273965237</v>
      </c>
      <c r="BA110">
        <v>7.524190726034756E-2</v>
      </c>
      <c r="BB110">
        <v>0</v>
      </c>
      <c r="BC110">
        <v>1.321664266143511</v>
      </c>
      <c r="BD110">
        <v>0.10753573385648869</v>
      </c>
    </row>
    <row r="111" spans="1:56" x14ac:dyDescent="0.25">
      <c r="A111" t="s">
        <v>373</v>
      </c>
      <c r="B111" t="s">
        <v>327</v>
      </c>
      <c r="C111" t="s">
        <v>111</v>
      </c>
      <c r="D111">
        <v>7</v>
      </c>
      <c r="E111">
        <v>2024</v>
      </c>
      <c r="F111">
        <v>3</v>
      </c>
      <c r="G111">
        <v>1</v>
      </c>
      <c r="H111">
        <v>61</v>
      </c>
      <c r="I111" t="s">
        <v>374</v>
      </c>
      <c r="J111">
        <v>-56.432269849999997</v>
      </c>
      <c r="K111">
        <v>-64.657812966666597</v>
      </c>
      <c r="L111" t="s">
        <v>227</v>
      </c>
      <c r="M111">
        <v>1.8573230815915149</v>
      </c>
      <c r="N111">
        <v>0.46601207366185521</v>
      </c>
      <c r="O111">
        <v>1.2307314987025959</v>
      </c>
      <c r="P111">
        <v>1.3323376781910601</v>
      </c>
      <c r="Q111">
        <v>0.1062</v>
      </c>
      <c r="R111">
        <v>0</v>
      </c>
      <c r="S111">
        <v>7.1900000000000006E-2</v>
      </c>
      <c r="T111">
        <v>1.15E-2</v>
      </c>
      <c r="U111">
        <v>0.1573</v>
      </c>
      <c r="V111">
        <v>1.2999999999999999E-2</v>
      </c>
      <c r="W111">
        <v>0</v>
      </c>
      <c r="X111" t="s">
        <v>138</v>
      </c>
      <c r="Y111" t="s">
        <v>138</v>
      </c>
      <c r="Z111">
        <v>0.61409999999999998</v>
      </c>
      <c r="AA111">
        <v>0.35259000000000001</v>
      </c>
      <c r="AB111">
        <v>0.4246915681102697</v>
      </c>
      <c r="AC111">
        <v>0.53806971269746739</v>
      </c>
      <c r="AD111">
        <v>3.7238719192262973E-2</v>
      </c>
      <c r="AE111">
        <v>0.26080309197651658</v>
      </c>
      <c r="AF111">
        <v>0.33042861056751471</v>
      </c>
      <c r="AG111">
        <v>2.2868297455968689E-2</v>
      </c>
      <c r="AH111">
        <v>0.76828900000000011</v>
      </c>
      <c r="AI111">
        <v>7.952736535340215E-3</v>
      </c>
      <c r="AJ111">
        <v>0.81096696685752356</v>
      </c>
      <c r="AK111">
        <v>0.18108029660713609</v>
      </c>
      <c r="AL111">
        <v>4.8837755063524261E-3</v>
      </c>
      <c r="AM111">
        <v>0.49801481434720518</v>
      </c>
      <c r="AN111">
        <v>0.1112014101464423</v>
      </c>
      <c r="AO111">
        <v>0.58025700000000013</v>
      </c>
      <c r="AP111">
        <v>2.4888312480028951E-3</v>
      </c>
      <c r="AQ111">
        <v>3.9878881254340741E-2</v>
      </c>
      <c r="AR111">
        <v>0.6491254157580606</v>
      </c>
      <c r="AS111">
        <v>0.31099570298759849</v>
      </c>
      <c r="AT111">
        <v>2.448962097829065E-2</v>
      </c>
      <c r="AU111">
        <v>0.398627917817025</v>
      </c>
      <c r="AV111">
        <v>0.19098246120468421</v>
      </c>
      <c r="AW111">
        <v>0.48953799999999997</v>
      </c>
      <c r="AX111">
        <v>1.32720785196667E-2</v>
      </c>
      <c r="AY111">
        <v>3.4787902062761222E-2</v>
      </c>
      <c r="AZ111">
        <v>0.71843595813923888</v>
      </c>
      <c r="BA111">
        <v>0.246776139798</v>
      </c>
      <c r="BB111">
        <v>2.1363250656741661E-2</v>
      </c>
      <c r="BC111">
        <v>0.44119152189330663</v>
      </c>
      <c r="BD111">
        <v>0.1515452274499518</v>
      </c>
    </row>
    <row r="112" spans="1:56" x14ac:dyDescent="0.25">
      <c r="A112" t="s">
        <v>375</v>
      </c>
      <c r="B112" t="s">
        <v>327</v>
      </c>
      <c r="C112" t="s">
        <v>161</v>
      </c>
      <c r="D112">
        <v>7</v>
      </c>
      <c r="E112">
        <v>2024</v>
      </c>
      <c r="F112">
        <v>3</v>
      </c>
      <c r="G112">
        <v>1</v>
      </c>
      <c r="H112">
        <v>61</v>
      </c>
      <c r="I112" t="s">
        <v>376</v>
      </c>
      <c r="J112">
        <v>-56.432777733333303</v>
      </c>
      <c r="K112">
        <v>-64.657552466666601</v>
      </c>
      <c r="L112" t="s">
        <v>227</v>
      </c>
      <c r="M112" t="s">
        <v>138</v>
      </c>
      <c r="N112" t="s">
        <v>138</v>
      </c>
      <c r="O112" t="s">
        <v>138</v>
      </c>
      <c r="P112" t="s">
        <v>138</v>
      </c>
      <c r="Q112">
        <v>7.9799999999999996E-2</v>
      </c>
      <c r="R112">
        <v>0</v>
      </c>
      <c r="S112">
        <v>8.1199999999999994E-2</v>
      </c>
      <c r="T112">
        <v>1.0800000000000001E-2</v>
      </c>
      <c r="U112">
        <v>0.39389999999999997</v>
      </c>
      <c r="V112">
        <v>1.0800000000000001E-2</v>
      </c>
      <c r="W112">
        <v>0</v>
      </c>
      <c r="X112" t="s">
        <v>138</v>
      </c>
      <c r="Y112" t="s">
        <v>138</v>
      </c>
      <c r="Z112">
        <v>1.0004999999999999</v>
      </c>
      <c r="AA112">
        <v>0.46666999999999997</v>
      </c>
      <c r="AB112">
        <v>0.24110827779801569</v>
      </c>
      <c r="AC112">
        <v>0.73551760344568962</v>
      </c>
      <c r="AD112">
        <v>2.3374118756294599E-2</v>
      </c>
      <c r="AE112">
        <v>0.24122883193691469</v>
      </c>
      <c r="AF112">
        <v>0.73588536224741241</v>
      </c>
      <c r="AG112">
        <v>2.338580581567274E-2</v>
      </c>
      <c r="AH112">
        <v>1.3297680000000001</v>
      </c>
      <c r="AI112">
        <v>3.8172072120851159E-3</v>
      </c>
      <c r="AJ112">
        <v>0.91756907971916912</v>
      </c>
      <c r="AK112">
        <v>7.861371306874583E-2</v>
      </c>
      <c r="AL112">
        <v>3.8191158156911579E-3</v>
      </c>
      <c r="AM112">
        <v>0.9180278642590286</v>
      </c>
      <c r="AN112">
        <v>7.8653019925280204E-2</v>
      </c>
      <c r="AO112">
        <v>0.95796800000000004</v>
      </c>
      <c r="AP112">
        <v>2.4028901958306932E-3</v>
      </c>
      <c r="AQ112">
        <v>2.0067476157867491E-2</v>
      </c>
      <c r="AR112">
        <v>0.83935270169853837</v>
      </c>
      <c r="AS112">
        <v>0.14057982214359421</v>
      </c>
      <c r="AT112">
        <v>2.0077509895946422E-2</v>
      </c>
      <c r="AU112">
        <v>0.83977237804938765</v>
      </c>
      <c r="AV112">
        <v>0.14065011205466599</v>
      </c>
      <c r="AW112">
        <v>0.83980800000000011</v>
      </c>
      <c r="AX112">
        <v>1.2892032688247309E-2</v>
      </c>
      <c r="AY112">
        <v>1.6846707818930041E-2</v>
      </c>
      <c r="AZ112">
        <v>0.87958157399634374</v>
      </c>
      <c r="BA112">
        <v>0.1035717181847261</v>
      </c>
      <c r="BB112">
        <v>1.6855131172839509E-2</v>
      </c>
      <c r="BC112">
        <v>0.88002136478334181</v>
      </c>
      <c r="BD112">
        <v>0.1036235040438185</v>
      </c>
    </row>
    <row r="113" spans="1:56" x14ac:dyDescent="0.25">
      <c r="A113" t="s">
        <v>377</v>
      </c>
      <c r="B113" t="s">
        <v>327</v>
      </c>
      <c r="C113" t="s">
        <v>164</v>
      </c>
      <c r="D113">
        <v>7</v>
      </c>
      <c r="E113">
        <v>2024</v>
      </c>
      <c r="F113">
        <v>3</v>
      </c>
      <c r="G113">
        <v>1</v>
      </c>
      <c r="H113">
        <v>61</v>
      </c>
      <c r="I113" t="s">
        <v>378</v>
      </c>
      <c r="J113">
        <v>-56.433213483333297</v>
      </c>
      <c r="K113">
        <v>-64.657328183333306</v>
      </c>
      <c r="L113" t="s">
        <v>227</v>
      </c>
      <c r="M113" t="s">
        <v>138</v>
      </c>
      <c r="N113" t="s">
        <v>138</v>
      </c>
      <c r="O113" t="s">
        <v>138</v>
      </c>
      <c r="P113" t="s">
        <v>138</v>
      </c>
      <c r="Q113">
        <v>6.2799999999999995E-2</v>
      </c>
      <c r="R113">
        <v>0</v>
      </c>
      <c r="S113">
        <v>7.7600000000000002E-2</v>
      </c>
      <c r="T113">
        <v>1.0200000000000001E-2</v>
      </c>
      <c r="U113">
        <v>0.49730000000000002</v>
      </c>
      <c r="V113">
        <v>0</v>
      </c>
      <c r="W113">
        <v>0</v>
      </c>
      <c r="X113" t="s">
        <v>138</v>
      </c>
      <c r="Y113" t="s">
        <v>138</v>
      </c>
      <c r="Z113">
        <v>1.1708000000000001</v>
      </c>
      <c r="AA113">
        <v>0.48904999999999998</v>
      </c>
      <c r="AB113">
        <v>0.18106124118188319</v>
      </c>
      <c r="AC113">
        <v>0.81893875881811673</v>
      </c>
      <c r="AD113">
        <v>0</v>
      </c>
      <c r="AE113">
        <v>0.21198650117574891</v>
      </c>
      <c r="AF113">
        <v>0.95881349882425115</v>
      </c>
      <c r="AG113">
        <v>0</v>
      </c>
      <c r="AH113">
        <v>1.5449200000000001</v>
      </c>
      <c r="AI113">
        <v>0</v>
      </c>
      <c r="AJ113">
        <v>0.94674934624446572</v>
      </c>
      <c r="AK113">
        <v>5.3250653755534262E-2</v>
      </c>
      <c r="AL113">
        <v>0</v>
      </c>
      <c r="AM113">
        <v>1.108454134583021</v>
      </c>
      <c r="AN113">
        <v>6.2345865416979521E-2</v>
      </c>
      <c r="AO113">
        <v>1.086354</v>
      </c>
      <c r="AP113">
        <v>2.21734531623667E-3</v>
      </c>
      <c r="AQ113">
        <v>0</v>
      </c>
      <c r="AR113">
        <v>0.9029654982172034</v>
      </c>
      <c r="AS113">
        <v>9.7034501782796573E-2</v>
      </c>
      <c r="AT113">
        <v>0</v>
      </c>
      <c r="AU113">
        <v>1.057192005312702</v>
      </c>
      <c r="AV113">
        <v>0.11360799468729819</v>
      </c>
      <c r="AW113">
        <v>0.96483600000000003</v>
      </c>
      <c r="AX113">
        <v>1.2169773356987349E-2</v>
      </c>
      <c r="AY113">
        <v>0</v>
      </c>
      <c r="AZ113">
        <v>0.93178188351604174</v>
      </c>
      <c r="BA113">
        <v>6.8218116483958355E-2</v>
      </c>
      <c r="BB113">
        <v>0</v>
      </c>
      <c r="BC113">
        <v>1.090930229220582</v>
      </c>
      <c r="BD113">
        <v>7.9869770779418439E-2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SFF</vt:lpstr>
      <vt:lpstr>HPLC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Xuerong</dc:creator>
  <cp:lastModifiedBy>Sun, Xuerong</cp:lastModifiedBy>
  <dcterms:created xsi:type="dcterms:W3CDTF">2015-06-05T18:17:20Z</dcterms:created>
  <dcterms:modified xsi:type="dcterms:W3CDTF">2026-05-27T13:14:33Z</dcterms:modified>
</cp:coreProperties>
</file>